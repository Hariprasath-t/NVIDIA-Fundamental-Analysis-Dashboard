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3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riprasatht/Downloads/"/>
    </mc:Choice>
  </mc:AlternateContent>
  <xr:revisionPtr revIDLastSave="0" documentId="13_ncr:1_{59A401EC-4820-7345-A889-24838EE2DDE1}" xr6:coauthVersionLast="47" xr6:coauthVersionMax="47" xr10:uidLastSave="{00000000-0000-0000-0000-000000000000}"/>
  <bookViews>
    <workbookView xWindow="0" yWindow="0" windowWidth="28800" windowHeight="16460" activeTab="2" xr2:uid="{B4218105-868A-4B49-861B-294E7BE875E3}"/>
  </bookViews>
  <sheets>
    <sheet name="Raw data" sheetId="1" r:id="rId1"/>
    <sheet name="Working data" sheetId="2" r:id="rId2"/>
    <sheet name="Dashboard 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2" l="1"/>
  <c r="J7" i="2"/>
  <c r="J9" i="1"/>
  <c r="J7" i="1"/>
  <c r="J8" i="2" l="1"/>
  <c r="J8" i="1"/>
</calcChain>
</file>

<file path=xl/sharedStrings.xml><?xml version="1.0" encoding="utf-8"?>
<sst xmlns="http://schemas.openxmlformats.org/spreadsheetml/2006/main" count="32" uniqueCount="20">
  <si>
    <t>Years</t>
  </si>
  <si>
    <t>Stock price</t>
  </si>
  <si>
    <t>Earnings</t>
  </si>
  <si>
    <t>Total assets</t>
  </si>
  <si>
    <t>Total liabilities</t>
  </si>
  <si>
    <t>Net assets</t>
  </si>
  <si>
    <t>Total dept</t>
  </si>
  <si>
    <t>Operating margin</t>
  </si>
  <si>
    <t xml:space="preserve">Revenue </t>
  </si>
  <si>
    <t>Marketcap</t>
  </si>
  <si>
    <t>Dividends yield</t>
  </si>
  <si>
    <t>cash on hands</t>
  </si>
  <si>
    <t>Market Category</t>
  </si>
  <si>
    <t>Revenue (USD Billions)</t>
  </si>
  <si>
    <t>Contribution (%)</t>
  </si>
  <si>
    <t>Data Center</t>
  </si>
  <si>
    <t>Gaming</t>
  </si>
  <si>
    <t>Professional Visualization</t>
  </si>
  <si>
    <t>Automotive</t>
  </si>
  <si>
    <t>OEM &amp;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</si>
</sst>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52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2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7" Type="http://schemas.microsoft.com/office/2017/10/relationships/person" Target="persons/person1.xml"/><Relationship Id="rId2" Type="http://schemas.openxmlformats.org/officeDocument/2006/relationships/worksheet" Target="worksheets/sheet2.xml"/><Relationship Id="rId16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5" Type="http://schemas.microsoft.com/office/2017/10/relationships/person" Target="persons/person3.xml"/><Relationship Id="rId19" Type="http://schemas.microsoft.com/office/2017/10/relationships/person" Target="persons/person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glow>
                    <a:srgbClr val="156082"/>
                  </a:glow>
                  <a:outerShdw blurRad="50800" dist="50800" dir="5400000" sx="69000" sy="69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  <a:effectLst>
                  <a:glow>
                    <a:srgbClr val="156082"/>
                  </a:glow>
                  <a:outerShdw blurRad="50800" dist="50800" dir="5400000" sx="69000" sy="69000" algn="ctr" rotWithShape="0">
                    <a:srgbClr val="000000">
                      <a:alpha val="0"/>
                    </a:srgbClr>
                  </a:outerShdw>
                </a:effectLst>
              </a:rPr>
              <a:t>Stock</a:t>
            </a:r>
            <a:r>
              <a:rPr lang="en-US" sz="1600" baseline="0">
                <a:solidFill>
                  <a:schemeClr val="bg1"/>
                </a:solidFill>
                <a:effectLst>
                  <a:glow>
                    <a:srgbClr val="156082"/>
                  </a:glow>
                  <a:outerShdw blurRad="50800" dist="50800" dir="5400000" sx="69000" sy="69000" algn="ctr" rotWithShape="0">
                    <a:srgbClr val="000000">
                      <a:alpha val="0"/>
                    </a:srgbClr>
                  </a:outerShdw>
                </a:effectLst>
              </a:rPr>
              <a:t> price</a:t>
            </a:r>
            <a:endParaRPr lang="en-US" sz="1600">
              <a:solidFill>
                <a:schemeClr val="bg1"/>
              </a:solidFill>
              <a:effectLst>
                <a:glow>
                  <a:srgbClr val="156082"/>
                </a:glow>
                <a:outerShdw blurRad="50800" dist="50800" dir="5400000" sx="69000" sy="69000" algn="ctr" rotWithShape="0">
                  <a:srgbClr val="000000">
                    <a:alpha val="0"/>
                  </a:srgbClr>
                </a:outerShdw>
              </a:effectLst>
            </a:endParaRPr>
          </a:p>
        </c:rich>
      </c:tx>
      <c:layout>
        <c:manualLayout>
          <c:xMode val="edge"/>
          <c:yMode val="edge"/>
          <c:x val="0.39556368689770999"/>
          <c:y val="2.4175823339073345E-2"/>
        </c:manualLayout>
      </c:layout>
      <c:overlay val="0"/>
      <c:spPr>
        <a:noFill/>
        <a:ln>
          <a:noFill/>
        </a:ln>
        <a:effectLst>
          <a:outerShdw sx="1000" sy="1000" algn="ctr" rotWithShape="0">
            <a:srgbClr val="000000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glow>
                  <a:srgbClr val="156082"/>
                </a:glow>
                <a:outerShdw blurRad="50800" dist="50800" dir="5400000" sx="69000" sy="69000" algn="ctr" rotWithShape="0">
                  <a:srgbClr val="000000">
                    <a:alpha val="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560390888638914E-2"/>
          <c:y val="0.1543975883767667"/>
          <c:w val="0.89030796150481195"/>
          <c:h val="0.66841025080198313"/>
        </c:manualLayout>
      </c:layout>
      <c:lineChart>
        <c:grouping val="standard"/>
        <c:varyColors val="0"/>
        <c:ser>
          <c:idx val="0"/>
          <c:order val="0"/>
          <c:tx>
            <c:strRef>
              <c:f>'Working data'!$B$1</c:f>
              <c:strCache>
                <c:ptCount val="1"/>
                <c:pt idx="0">
                  <c:v>Stock price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'Working data'!$A$1:$A$25</c:f>
              <c:strCache>
                <c:ptCount val="25"/>
                <c:pt idx="0">
                  <c:v>Years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'Working data'!$B$1:$B$25</c:f>
              <c:numCache>
                <c:formatCode>General</c:formatCode>
                <c:ptCount val="25"/>
                <c:pt idx="0">
                  <c:v>0</c:v>
                </c:pt>
                <c:pt idx="1">
                  <c:v>0.89</c:v>
                </c:pt>
                <c:pt idx="2">
                  <c:v>0.15</c:v>
                </c:pt>
                <c:pt idx="3">
                  <c:v>0.28000000000000003</c:v>
                </c:pt>
                <c:pt idx="4">
                  <c:v>0.28999999999999998</c:v>
                </c:pt>
                <c:pt idx="5">
                  <c:v>0.45</c:v>
                </c:pt>
                <c:pt idx="6">
                  <c:v>0.87</c:v>
                </c:pt>
                <c:pt idx="7">
                  <c:v>1.23</c:v>
                </c:pt>
                <c:pt idx="8">
                  <c:v>0.3</c:v>
                </c:pt>
                <c:pt idx="9">
                  <c:v>0.64</c:v>
                </c:pt>
                <c:pt idx="10">
                  <c:v>0.53</c:v>
                </c:pt>
                <c:pt idx="11">
                  <c:v>0.46</c:v>
                </c:pt>
                <c:pt idx="12">
                  <c:v>0.41</c:v>
                </c:pt>
                <c:pt idx="13">
                  <c:v>0.53</c:v>
                </c:pt>
                <c:pt idx="14">
                  <c:v>0.68</c:v>
                </c:pt>
                <c:pt idx="15">
                  <c:v>1.1299999999999999</c:v>
                </c:pt>
                <c:pt idx="16">
                  <c:v>3.76</c:v>
                </c:pt>
                <c:pt idx="17">
                  <c:v>7.16</c:v>
                </c:pt>
                <c:pt idx="18">
                  <c:v>4.8099999999999996</c:v>
                </c:pt>
                <c:pt idx="19">
                  <c:v>8.34</c:v>
                </c:pt>
                <c:pt idx="20">
                  <c:v>18.18</c:v>
                </c:pt>
                <c:pt idx="21">
                  <c:v>40.81</c:v>
                </c:pt>
                <c:pt idx="22">
                  <c:v>19.82</c:v>
                </c:pt>
                <c:pt idx="23">
                  <c:v>68</c:v>
                </c:pt>
                <c:pt idx="24">
                  <c:v>134.29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4-1C4E-A62B-4E31F5659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6816"/>
        <c:axId val="1350700096"/>
      </c:lineChart>
      <c:catAx>
        <c:axId val="135070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/>
                </a:solidFill>
                <a:effectLst>
                  <a:glow>
                    <a:schemeClr val="accent1">
                      <a:alpha val="40000"/>
                    </a:schemeClr>
                  </a:glow>
                  <a:outerShdw blurRad="50800" dist="50800" dir="5400000" sx="69000" sy="69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700096"/>
        <c:crosses val="autoZero"/>
        <c:auto val="1"/>
        <c:lblAlgn val="ctr"/>
        <c:lblOffset val="100"/>
        <c:noMultiLvlLbl val="0"/>
      </c:catAx>
      <c:valAx>
        <c:axId val="135070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shade val="15000"/>
                </a:schemeClr>
              </a:solidFill>
              <a:round/>
            </a:ln>
            <a:effectLst>
              <a:outerShdw blurRad="50800" dist="50800" dir="5400000" algn="ctr" rotWithShape="0">
                <a:srgbClr val="000000">
                  <a:alpha val="0"/>
                </a:srgbClr>
              </a:outerShdw>
              <a:softEdge rad="0"/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6"/>
                </a:solidFill>
                <a:effectLst>
                  <a:glow>
                    <a:schemeClr val="accent1">
                      <a:alpha val="40000"/>
                    </a:schemeClr>
                  </a:glow>
                  <a:outerShdw blurRad="50800" dist="50800" dir="5400000" sx="200000" sy="200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706816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>
      <a:solidFill>
        <a:srgbClr val="006400"/>
      </a:solidFill>
      <a:prstDash val="solid"/>
    </a:ln>
    <a:effectLst/>
  </c:spPr>
  <c:txPr>
    <a:bodyPr/>
    <a:lstStyle/>
    <a:p>
      <a:pPr>
        <a:defRPr sz="1800">
          <a:solidFill>
            <a:schemeClr val="accent6"/>
          </a:solidFill>
          <a:effectLst>
            <a:glow>
              <a:schemeClr val="accent1">
                <a:alpha val="40000"/>
              </a:schemeClr>
            </a:glow>
            <a:outerShdw blurRad="50800" dist="50800" dir="5400000" sx="69000" sy="69000" algn="ctr" rotWithShape="0">
              <a:srgbClr val="000000">
                <a:alpha val="31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507152665519451E-2"/>
          <c:y val="0.15596987617211752"/>
          <c:w val="0.90741165632441645"/>
          <c:h val="0.69085176593589703"/>
        </c:manualLayout>
      </c:layout>
      <c:areaChart>
        <c:grouping val="standard"/>
        <c:varyColors val="0"/>
        <c:ser>
          <c:idx val="0"/>
          <c:order val="0"/>
          <c:tx>
            <c:strRef>
              <c:f>'Working data'!$C$1</c:f>
              <c:strCache>
                <c:ptCount val="1"/>
                <c:pt idx="0">
                  <c:v>Revenue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'Working data'!$A$1:$A$25</c:f>
              <c:strCache>
                <c:ptCount val="25"/>
                <c:pt idx="0">
                  <c:v>Years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'Working data'!$C$1:$C$25</c:f>
              <c:numCache>
                <c:formatCode>General</c:formatCode>
                <c:ptCount val="25"/>
                <c:pt idx="0">
                  <c:v>0</c:v>
                </c:pt>
                <c:pt idx="1">
                  <c:v>1.36</c:v>
                </c:pt>
                <c:pt idx="2">
                  <c:v>1.9</c:v>
                </c:pt>
                <c:pt idx="3">
                  <c:v>1.82</c:v>
                </c:pt>
                <c:pt idx="4">
                  <c:v>2.0099999999999998</c:v>
                </c:pt>
                <c:pt idx="5">
                  <c:v>2.37</c:v>
                </c:pt>
                <c:pt idx="6">
                  <c:v>3.06</c:v>
                </c:pt>
                <c:pt idx="7">
                  <c:v>4.09</c:v>
                </c:pt>
                <c:pt idx="8">
                  <c:v>3.42</c:v>
                </c:pt>
                <c:pt idx="9">
                  <c:v>3.32</c:v>
                </c:pt>
                <c:pt idx="10">
                  <c:v>3.54</c:v>
                </c:pt>
                <c:pt idx="11">
                  <c:v>3.99</c:v>
                </c:pt>
                <c:pt idx="12">
                  <c:v>4.28</c:v>
                </c:pt>
                <c:pt idx="13">
                  <c:v>4.13</c:v>
                </c:pt>
                <c:pt idx="14">
                  <c:v>4.68</c:v>
                </c:pt>
                <c:pt idx="15">
                  <c:v>5.01</c:v>
                </c:pt>
                <c:pt idx="16">
                  <c:v>6.91</c:v>
                </c:pt>
                <c:pt idx="17">
                  <c:v>9.7100000000000009</c:v>
                </c:pt>
                <c:pt idx="18">
                  <c:v>11.71</c:v>
                </c:pt>
                <c:pt idx="19">
                  <c:v>10.91</c:v>
                </c:pt>
                <c:pt idx="20">
                  <c:v>16.670000000000002</c:v>
                </c:pt>
                <c:pt idx="21">
                  <c:v>26.91</c:v>
                </c:pt>
                <c:pt idx="22">
                  <c:v>26.97</c:v>
                </c:pt>
                <c:pt idx="23">
                  <c:v>60.92</c:v>
                </c:pt>
                <c:pt idx="24">
                  <c:v>130.49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B-EC47-A138-3FA39F57D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364672"/>
        <c:axId val="1358370944"/>
      </c:areaChart>
      <c:catAx>
        <c:axId val="135836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70944"/>
        <c:crosses val="autoZero"/>
        <c:auto val="1"/>
        <c:lblAlgn val="ctr"/>
        <c:lblOffset val="100"/>
        <c:noMultiLvlLbl val="0"/>
      </c:catAx>
      <c:valAx>
        <c:axId val="135837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64672"/>
        <c:crosses val="autoZero"/>
        <c:crossBetween val="midCat"/>
      </c:valAx>
      <c:spPr>
        <a:noFill/>
        <a:ln>
          <a:noFill/>
        </a:ln>
        <a:effectLst>
          <a:softEdge rad="0"/>
        </a:effectLst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>
      <a:solidFill>
        <a:srgbClr val="006400"/>
      </a:solidFill>
      <a:prstDash val="soli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</a:rPr>
              <a:t>Earnings by Year (Billions)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Earnings (Billions)</c:v>
          </c:tx>
          <c:spPr>
            <a:solidFill>
              <a:srgbClr val="00FF00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AD-0442-B0A8-508E3FAEB52C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AD-0442-B0A8-508E3FAEB52C}"/>
              </c:ext>
            </c:extLst>
          </c:dPt>
          <c:dLbls>
            <c:dLbl>
              <c:idx val="7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7AD-0442-B0A8-508E3FAEB52C}"/>
                </c:ext>
              </c:extLst>
            </c:dLbl>
            <c:dLbl>
              <c:idx val="8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7AD-0442-B0A8-508E3FAEB52C}"/>
                </c:ext>
              </c:extLst>
            </c:dLbl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'Raw data'!$A$2:$A$25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'Raw data'!$D$2:$D$25</c:f>
              <c:numCache>
                <c:formatCode>General</c:formatCode>
                <c:ptCount val="24"/>
                <c:pt idx="0">
                  <c:v>0.24</c:v>
                </c:pt>
                <c:pt idx="1">
                  <c:v>0.14000000000000001</c:v>
                </c:pt>
                <c:pt idx="2">
                  <c:v>9.3649999999999997E-2</c:v>
                </c:pt>
                <c:pt idx="3">
                  <c:v>0.11</c:v>
                </c:pt>
                <c:pt idx="4">
                  <c:v>0.33</c:v>
                </c:pt>
                <c:pt idx="5">
                  <c:v>0.45</c:v>
                </c:pt>
                <c:pt idx="6">
                  <c:v>0.83</c:v>
                </c:pt>
                <c:pt idx="7">
                  <c:v>-4.3839999999999997E-2</c:v>
                </c:pt>
                <c:pt idx="8">
                  <c:v>-7.8979999999999995E-2</c:v>
                </c:pt>
                <c:pt idx="9">
                  <c:v>0.27</c:v>
                </c:pt>
                <c:pt idx="10">
                  <c:v>0.66</c:v>
                </c:pt>
                <c:pt idx="11">
                  <c:v>0.66</c:v>
                </c:pt>
                <c:pt idx="12">
                  <c:v>0.53</c:v>
                </c:pt>
                <c:pt idx="13">
                  <c:v>0.8</c:v>
                </c:pt>
                <c:pt idx="14">
                  <c:v>0.79</c:v>
                </c:pt>
                <c:pt idx="15">
                  <c:v>1.96</c:v>
                </c:pt>
                <c:pt idx="16">
                  <c:v>3.25</c:v>
                </c:pt>
                <c:pt idx="17">
                  <c:v>3.95</c:v>
                </c:pt>
                <c:pt idx="18">
                  <c:v>3.02</c:v>
                </c:pt>
                <c:pt idx="19">
                  <c:v>4.59</c:v>
                </c:pt>
                <c:pt idx="20">
                  <c:v>10.17</c:v>
                </c:pt>
                <c:pt idx="21">
                  <c:v>4.4400000000000004</c:v>
                </c:pt>
                <c:pt idx="22">
                  <c:v>34.07</c:v>
                </c:pt>
                <c:pt idx="23">
                  <c:v>84.27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AD-0442-B0A8-508E3FAEB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4411648"/>
        <c:axId val="348549824"/>
      </c:barChart>
      <c:catAx>
        <c:axId val="49441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FF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549824"/>
        <c:crossesAt val="0"/>
        <c:auto val="1"/>
        <c:lblAlgn val="ctr"/>
        <c:lblOffset val="100"/>
        <c:noMultiLvlLbl val="0"/>
      </c:catAx>
      <c:valAx>
        <c:axId val="348549824"/>
        <c:scaling>
          <c:orientation val="minMax"/>
          <c:max val="90"/>
          <c:min val="-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FF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11648"/>
        <c:crosses val="autoZero"/>
        <c:crossBetween val="between"/>
      </c:valAx>
      <c:spPr>
        <a:solidFill>
          <a:srgbClr val="000000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19050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</a:rPr>
              <a:t>Total Assets  And</a:t>
            </a:r>
            <a:r>
              <a:rPr lang="en-US" sz="1600" baseline="0">
                <a:solidFill>
                  <a:schemeClr val="bg1"/>
                </a:solidFill>
              </a:rPr>
              <a:t> </a:t>
            </a:r>
            <a:r>
              <a:rPr lang="en-US" sz="1600">
                <a:solidFill>
                  <a:schemeClr val="bg1"/>
                </a:solidFill>
              </a:rPr>
              <a:t> Total 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data'!$G$1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'Raw data'!$A$2:$A$25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'Raw data'!$G$2:$G$25</c:f>
              <c:numCache>
                <c:formatCode>General</c:formatCode>
                <c:ptCount val="24"/>
                <c:pt idx="0">
                  <c:v>1.01</c:v>
                </c:pt>
                <c:pt idx="1">
                  <c:v>1.5</c:v>
                </c:pt>
                <c:pt idx="2">
                  <c:v>1.61</c:v>
                </c:pt>
                <c:pt idx="3">
                  <c:v>1.39</c:v>
                </c:pt>
                <c:pt idx="4">
                  <c:v>1.62</c:v>
                </c:pt>
                <c:pt idx="5">
                  <c:v>1.95</c:v>
                </c:pt>
                <c:pt idx="6">
                  <c:v>2.67</c:v>
                </c:pt>
                <c:pt idx="7">
                  <c:v>3.74</c:v>
                </c:pt>
                <c:pt idx="8">
                  <c:v>3.35</c:v>
                </c:pt>
                <c:pt idx="9">
                  <c:v>3.58</c:v>
                </c:pt>
                <c:pt idx="10">
                  <c:v>4.49</c:v>
                </c:pt>
                <c:pt idx="11">
                  <c:v>5.55</c:v>
                </c:pt>
                <c:pt idx="12">
                  <c:v>6.41</c:v>
                </c:pt>
                <c:pt idx="13">
                  <c:v>7.25</c:v>
                </c:pt>
                <c:pt idx="14">
                  <c:v>7.2</c:v>
                </c:pt>
                <c:pt idx="15">
                  <c:v>7.37</c:v>
                </c:pt>
                <c:pt idx="16">
                  <c:v>9.84</c:v>
                </c:pt>
                <c:pt idx="17">
                  <c:v>11.24</c:v>
                </c:pt>
                <c:pt idx="18">
                  <c:v>13.29</c:v>
                </c:pt>
                <c:pt idx="19">
                  <c:v>17.309999999999999</c:v>
                </c:pt>
                <c:pt idx="20">
                  <c:v>28.79</c:v>
                </c:pt>
                <c:pt idx="21">
                  <c:v>44.18</c:v>
                </c:pt>
                <c:pt idx="22">
                  <c:v>41.18</c:v>
                </c:pt>
                <c:pt idx="23">
                  <c:v>65.72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7-784F-B0A0-968D493EBCDA}"/>
            </c:ext>
          </c:extLst>
        </c:ser>
        <c:ser>
          <c:idx val="1"/>
          <c:order val="1"/>
          <c:tx>
            <c:strRef>
              <c:f>'Raw data'!$H$1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'Raw data'!$A$2:$A$25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'Raw data'!$H$2:$H$25</c:f>
              <c:numCache>
                <c:formatCode>General</c:formatCode>
                <c:ptCount val="24"/>
                <c:pt idx="0">
                  <c:v>0.6</c:v>
                </c:pt>
                <c:pt idx="1">
                  <c:v>0.73</c:v>
                </c:pt>
                <c:pt idx="2">
                  <c:v>0.68</c:v>
                </c:pt>
                <c:pt idx="3">
                  <c:v>0.34</c:v>
                </c:pt>
                <c:pt idx="4">
                  <c:v>0.45</c:v>
                </c:pt>
                <c:pt idx="5">
                  <c:v>0.45</c:v>
                </c:pt>
                <c:pt idx="6">
                  <c:v>0.66</c:v>
                </c:pt>
                <c:pt idx="7">
                  <c:v>1.1200000000000001</c:v>
                </c:pt>
                <c:pt idx="8">
                  <c:v>0.95</c:v>
                </c:pt>
                <c:pt idx="9">
                  <c:v>0.92</c:v>
                </c:pt>
                <c:pt idx="10">
                  <c:v>1.31</c:v>
                </c:pt>
                <c:pt idx="11">
                  <c:v>1.4</c:v>
                </c:pt>
                <c:pt idx="12">
                  <c:v>1.58</c:v>
                </c:pt>
                <c:pt idx="13">
                  <c:v>2.79</c:v>
                </c:pt>
                <c:pt idx="14">
                  <c:v>2.78</c:v>
                </c:pt>
                <c:pt idx="15">
                  <c:v>2.9</c:v>
                </c:pt>
                <c:pt idx="16">
                  <c:v>4.07</c:v>
                </c:pt>
                <c:pt idx="17">
                  <c:v>3.77</c:v>
                </c:pt>
                <c:pt idx="18">
                  <c:v>3.95</c:v>
                </c:pt>
                <c:pt idx="19">
                  <c:v>5.1100000000000003</c:v>
                </c:pt>
                <c:pt idx="20">
                  <c:v>11.89</c:v>
                </c:pt>
                <c:pt idx="21">
                  <c:v>17.57</c:v>
                </c:pt>
                <c:pt idx="22">
                  <c:v>19.079999999999998</c:v>
                </c:pt>
                <c:pt idx="23">
                  <c:v>22.75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7-784F-B0A0-968D493EB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351552"/>
        <c:axId val="1358172096"/>
      </c:barChart>
      <c:catAx>
        <c:axId val="140135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72096"/>
        <c:crosses val="autoZero"/>
        <c:auto val="1"/>
        <c:lblAlgn val="ctr"/>
        <c:lblOffset val="100"/>
        <c:noMultiLvlLbl val="0"/>
      </c:catAx>
      <c:valAx>
        <c:axId val="1358172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35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solidFill>
        <a:srgbClr val="0064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 sz="1600">
                <a:solidFill>
                  <a:schemeClr val="bg1"/>
                </a:solidFill>
              </a:rPr>
              <a:t>Cash on Hands vs Total Debt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Total Debt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'Raw data'!$A$2:$A$25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'Raw data'!$J$2:$J$25</c:f>
              <c:numCache>
                <c:formatCode>General</c:formatCode>
                <c:ptCount val="24"/>
                <c:pt idx="0">
                  <c:v>0.3</c:v>
                </c:pt>
                <c:pt idx="1">
                  <c:v>0.3</c:v>
                </c:pt>
                <c:pt idx="2">
                  <c:v>0.31</c:v>
                </c:pt>
                <c:pt idx="3">
                  <c:v>4.8700000000000002E-3</c:v>
                </c:pt>
                <c:pt idx="4">
                  <c:v>8.4999999999999995E-4</c:v>
                </c:pt>
                <c:pt idx="5">
                  <c:v>3.5196174999999998</c:v>
                </c:pt>
                <c:pt idx="6">
                  <c:v>2.8044246739130427</c:v>
                </c:pt>
                <c:pt idx="7">
                  <c:v>3.7525500000000003</c:v>
                </c:pt>
                <c:pt idx="8">
                  <c:v>2.563E-2</c:v>
                </c:pt>
                <c:pt idx="9">
                  <c:v>2.445E-2</c:v>
                </c:pt>
                <c:pt idx="10">
                  <c:v>2.3380000000000001E-2</c:v>
                </c:pt>
                <c:pt idx="11">
                  <c:v>2.1430000000000001E-2</c:v>
                </c:pt>
                <c:pt idx="12">
                  <c:v>1.899E-2</c:v>
                </c:pt>
                <c:pt idx="13">
                  <c:v>1.37</c:v>
                </c:pt>
                <c:pt idx="14">
                  <c:v>1.39</c:v>
                </c:pt>
                <c:pt idx="15">
                  <c:v>1.51</c:v>
                </c:pt>
                <c:pt idx="16">
                  <c:v>2.81</c:v>
                </c:pt>
                <c:pt idx="17">
                  <c:v>2</c:v>
                </c:pt>
                <c:pt idx="18">
                  <c:v>1.98</c:v>
                </c:pt>
                <c:pt idx="19">
                  <c:v>2.64</c:v>
                </c:pt>
                <c:pt idx="20">
                  <c:v>7.59</c:v>
                </c:pt>
                <c:pt idx="21">
                  <c:v>11.83</c:v>
                </c:pt>
                <c:pt idx="22">
                  <c:v>12.03</c:v>
                </c:pt>
                <c:pt idx="23">
                  <c:v>11.05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8-B947-8F58-73E1A4EF720A}"/>
            </c:ext>
          </c:extLst>
        </c:ser>
        <c:ser>
          <c:idx val="1"/>
          <c:order val="1"/>
          <c:tx>
            <c:v>Cash on Hands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'Raw data'!$A$2:$A$25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'Raw data'!$L$2:$L$25</c:f>
              <c:numCache>
                <c:formatCode>General</c:formatCode>
                <c:ptCount val="24"/>
                <c:pt idx="0">
                  <c:v>0.67</c:v>
                </c:pt>
                <c:pt idx="1">
                  <c:v>0.79</c:v>
                </c:pt>
                <c:pt idx="2">
                  <c:v>1.02</c:v>
                </c:pt>
                <c:pt idx="3">
                  <c:v>0.6</c:v>
                </c:pt>
                <c:pt idx="4">
                  <c:v>0.67</c:v>
                </c:pt>
                <c:pt idx="5">
                  <c:v>0.95</c:v>
                </c:pt>
                <c:pt idx="6">
                  <c:v>1.1100000000000001</c:v>
                </c:pt>
                <c:pt idx="7">
                  <c:v>1.8</c:v>
                </c:pt>
                <c:pt idx="8">
                  <c:v>1.25</c:v>
                </c:pt>
                <c:pt idx="9">
                  <c:v>1.72</c:v>
                </c:pt>
                <c:pt idx="10">
                  <c:v>2.4900000000000002</c:v>
                </c:pt>
                <c:pt idx="11">
                  <c:v>3.12</c:v>
                </c:pt>
                <c:pt idx="12">
                  <c:v>3.72</c:v>
                </c:pt>
                <c:pt idx="13">
                  <c:v>4.67</c:v>
                </c:pt>
                <c:pt idx="14">
                  <c:v>4.62</c:v>
                </c:pt>
                <c:pt idx="15">
                  <c:v>5.03</c:v>
                </c:pt>
                <c:pt idx="16">
                  <c:v>6.79</c:v>
                </c:pt>
                <c:pt idx="17">
                  <c:v>7.1</c:v>
                </c:pt>
                <c:pt idx="18">
                  <c:v>7.42</c:v>
                </c:pt>
                <c:pt idx="19">
                  <c:v>10.89</c:v>
                </c:pt>
                <c:pt idx="20">
                  <c:v>11.56</c:v>
                </c:pt>
                <c:pt idx="21">
                  <c:v>21.2</c:v>
                </c:pt>
                <c:pt idx="22">
                  <c:v>13.29</c:v>
                </c:pt>
                <c:pt idx="23">
                  <c:v>25.98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B8-B947-8F58-73E1A4EF7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90578240"/>
        <c:axId val="404614976"/>
      </c:barChart>
      <c:catAx>
        <c:axId val="490578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FF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14976"/>
        <c:crosses val="autoZero"/>
        <c:auto val="1"/>
        <c:lblAlgn val="ctr"/>
        <c:lblOffset val="100"/>
        <c:noMultiLvlLbl val="0"/>
      </c:catAx>
      <c:valAx>
        <c:axId val="40461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FF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78240"/>
        <c:crosses val="autoZero"/>
        <c:crossBetween val="between"/>
      </c:valAx>
      <c:spPr>
        <a:solidFill>
          <a:srgbClr val="000000"/>
        </a:solidFill>
        <a:ln>
          <a:noFill/>
        </a:ln>
        <a:effectLst/>
      </c:spPr>
    </c:plotArea>
    <c:legend>
      <c:legendPos val="b"/>
      <c:overlay val="0"/>
      <c:spPr>
        <a:solidFill>
          <a:srgbClr val="0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0000"/>
    </a:solidFill>
    <a:ln w="19050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Revenue</a:t>
            </a:r>
            <a:r>
              <a:rPr lang="en-US" sz="1600" b="1" baseline="0">
                <a:solidFill>
                  <a:schemeClr val="bg1"/>
                </a:solidFill>
              </a:rPr>
              <a:t> By Products</a:t>
            </a:r>
            <a:endParaRPr lang="en-US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'Working data'!$O$4</c:f>
              <c:strCache>
                <c:ptCount val="1"/>
                <c:pt idx="0">
                  <c:v>Revenue (USD Billions)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CD-B941-B1B4-6DA41D829FAC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CD-B941-B1B4-6DA41D829FAC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CD-B941-B1B4-6DA41D829FAC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CD-B941-B1B4-6DA41D829FAC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CD-B941-B1B4-6DA41D829FAC}"/>
              </c:ext>
            </c:extLst>
          </c:dPt>
          <c:dLbls>
            <c:dLbl>
              <c:idx val="0"/>
              <c:layout>
                <c:manualLayout>
                  <c:x val="0.38266053489003521"/>
                  <c:y val="-9.0965031930063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8.6970922576657436E-2"/>
                      <c:h val="7.49625984251968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ACD-B941-B1B4-6DA41D829FAC}"/>
                </c:ext>
              </c:extLst>
            </c:dLbl>
            <c:dLbl>
              <c:idx val="1"/>
              <c:layout>
                <c:manualLayout>
                  <c:x val="-1.7368855983445754E-2"/>
                  <c:y val="-5.27599409448818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559726962457337E-2"/>
                      <c:h val="5.24625984251968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ACD-B941-B1B4-6DA41D829FAC}"/>
                </c:ext>
              </c:extLst>
            </c:dLbl>
            <c:dLbl>
              <c:idx val="2"/>
              <c:layout>
                <c:manualLayout>
                  <c:x val="2.785332294214064E-2"/>
                  <c:y val="-8.54606299212598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CD-B941-B1B4-6DA41D829FAC}"/>
                </c:ext>
              </c:extLst>
            </c:dLbl>
            <c:dLbl>
              <c:idx val="3"/>
              <c:layout>
                <c:manualLayout>
                  <c:x val="5.712356561231894E-2"/>
                  <c:y val="-2.58122047244094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348122866894196E-2"/>
                      <c:h val="4.99625984251968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ACD-B941-B1B4-6DA41D829FAC}"/>
                </c:ext>
              </c:extLst>
            </c:dLbl>
            <c:dLbl>
              <c:idx val="4"/>
              <c:layout>
                <c:manualLayout>
                  <c:x val="7.0572545752600038E-2"/>
                  <c:y val="5.019448818897637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CD-B941-B1B4-6DA41D829F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'Working data'!$N$5:$N$9</c:f>
              <c:strCache>
                <c:ptCount val="5"/>
                <c:pt idx="0">
                  <c:v>Data Center</c:v>
                </c:pt>
                <c:pt idx="1">
                  <c:v>Gaming</c:v>
                </c:pt>
                <c:pt idx="2">
                  <c:v>Professional Visualization</c:v>
                </c:pt>
                <c:pt idx="3">
                  <c:v>Automotive</c:v>
                </c:pt>
                <c:pt idx="4">
                  <c:v>OEM &amp; Other</c:v>
                </c:pt>
              </c:strCache>
            </c:strRef>
          </c:cat>
          <c:val>
            <c:numRef>
              <c:f>'Working data'!$O$5:$O$9</c:f>
              <c:numCache>
                <c:formatCode>General</c:formatCode>
                <c:ptCount val="5"/>
                <c:pt idx="0">
                  <c:v>193.74</c:v>
                </c:pt>
                <c:pt idx="1">
                  <c:v>16.04</c:v>
                </c:pt>
                <c:pt idx="2">
                  <c:v>3.19</c:v>
                </c:pt>
                <c:pt idx="3">
                  <c:v>2.35</c:v>
                </c:pt>
                <c:pt idx="4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CD-B941-B1B4-6DA41D829FAC}"/>
            </c:ext>
          </c:extLst>
        </c:ser>
        <c:ser>
          <c:idx val="1"/>
          <c:order val="1"/>
          <c:tx>
            <c:strRef>
              <c:f>'Working data'!$P$4</c:f>
              <c:strCache>
                <c:ptCount val="1"/>
                <c:pt idx="0">
                  <c:v>Contribution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ACD-B941-B1B4-6DA41D829F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ACD-B941-B1B4-6DA41D829F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ACD-B941-B1B4-6DA41D829F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ACD-B941-B1B4-6DA41D829F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ACD-B941-B1B4-6DA41D829FAC}"/>
              </c:ext>
            </c:extLst>
          </c:dPt>
          <c:cat>
            <c:strRef>
              <c:f>'Working data'!$N$5:$N$9</c:f>
              <c:strCache>
                <c:ptCount val="5"/>
                <c:pt idx="0">
                  <c:v>Data Center</c:v>
                </c:pt>
                <c:pt idx="1">
                  <c:v>Gaming</c:v>
                </c:pt>
                <c:pt idx="2">
                  <c:v>Professional Visualization</c:v>
                </c:pt>
                <c:pt idx="3">
                  <c:v>Automotive</c:v>
                </c:pt>
                <c:pt idx="4">
                  <c:v>OEM &amp; Other</c:v>
                </c:pt>
              </c:strCache>
            </c:strRef>
          </c:cat>
          <c:val>
            <c:numRef>
              <c:f>'Working data'!$P$5:$P$9</c:f>
              <c:numCache>
                <c:formatCode>General</c:formatCode>
                <c:ptCount val="5"/>
                <c:pt idx="0">
                  <c:v>89.72</c:v>
                </c:pt>
                <c:pt idx="1">
                  <c:v>7.43</c:v>
                </c:pt>
                <c:pt idx="2">
                  <c:v>1.48</c:v>
                </c:pt>
                <c:pt idx="3">
                  <c:v>1.0900000000000001</c:v>
                </c:pt>
                <c:pt idx="4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ACD-B941-B1B4-6DA41D829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7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19050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image" Target="../media/image7.png"/><Relationship Id="rId3" Type="http://schemas.openxmlformats.org/officeDocument/2006/relationships/image" Target="../media/image3.jpeg"/><Relationship Id="rId7" Type="http://schemas.microsoft.com/office/2007/relationships/hdphoto" Target="../media/hdphoto1.wdp"/><Relationship Id="rId12" Type="http://schemas.openxmlformats.org/officeDocument/2006/relationships/chart" Target="../charts/chart5.xm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4.xml"/><Relationship Id="rId5" Type="http://schemas.openxmlformats.org/officeDocument/2006/relationships/image" Target="../media/image5.jpeg"/><Relationship Id="rId10" Type="http://schemas.openxmlformats.org/officeDocument/2006/relationships/chart" Target="../charts/chart3.xml"/><Relationship Id="rId4" Type="http://schemas.openxmlformats.org/officeDocument/2006/relationships/image" Target="../media/image4.jpeg"/><Relationship Id="rId9" Type="http://schemas.openxmlformats.org/officeDocument/2006/relationships/chart" Target="../charts/chart2.xml"/><Relationship Id="rId1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79642</xdr:rowOff>
    </xdr:from>
    <xdr:to>
      <xdr:col>21</xdr:col>
      <xdr:colOff>457200</xdr:colOff>
      <xdr:row>6</xdr:row>
      <xdr:rowOff>76200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2C00565-41EE-94F9-9CDA-B3C483E77457}"/>
            </a:ext>
          </a:extLst>
        </xdr:cNvPr>
        <xdr:cNvGrpSpPr/>
      </xdr:nvGrpSpPr>
      <xdr:grpSpPr>
        <a:xfrm>
          <a:off x="63500" y="79642"/>
          <a:ext cx="17729200" cy="1215758"/>
          <a:chOff x="1073057" y="210829"/>
          <a:chExt cx="25013235" cy="1804536"/>
        </a:xfrm>
      </xdr:grpSpPr>
      <xdr:sp macro="" textlink="">
        <xdr:nvSpPr>
          <xdr:cNvPr id="9" name="Rounded Rectangle 8">
            <a:extLst>
              <a:ext uri="{FF2B5EF4-FFF2-40B4-BE49-F238E27FC236}">
                <a16:creationId xmlns:a16="http://schemas.microsoft.com/office/drawing/2014/main" id="{D09554E0-C3FD-3CE3-2B8B-18245800BBA2}"/>
              </a:ext>
            </a:extLst>
          </xdr:cNvPr>
          <xdr:cNvSpPr/>
        </xdr:nvSpPr>
        <xdr:spPr>
          <a:xfrm>
            <a:off x="1073057" y="213986"/>
            <a:ext cx="24995317" cy="1785618"/>
          </a:xfrm>
          <a:prstGeom prst="roundRect">
            <a:avLst/>
          </a:prstGeom>
          <a:gradFill flip="none" rotWithShape="1">
            <a:gsLst>
              <a:gs pos="0">
                <a:schemeClr val="accent3">
                  <a:lumMod val="67000"/>
                </a:schemeClr>
              </a:gs>
              <a:gs pos="48000">
                <a:schemeClr val="accent3">
                  <a:lumMod val="97000"/>
                  <a:lumOff val="3000"/>
                </a:schemeClr>
              </a:gs>
              <a:gs pos="100000">
                <a:schemeClr val="accent3">
                  <a:lumMod val="60000"/>
                  <a:lumOff val="40000"/>
                </a:schemeClr>
              </a:gs>
            </a:gsLst>
            <a:lin ang="16200000" scaled="1"/>
            <a:tileRect/>
          </a:gradFill>
          <a:scene3d>
            <a:camera prst="orthographicFront"/>
            <a:lightRig rig="brightRoom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2800" b="1"/>
              <a:t>                          </a:t>
            </a:r>
            <a:r>
              <a:rPr lang="en-GB" sz="2800" b="1" baseline="0"/>
              <a:t>        </a:t>
            </a:r>
            <a:r>
              <a:rPr lang="en-GB" sz="2800" b="1">
                <a:solidFill>
                  <a:schemeClr val="tx1"/>
                </a:solidFill>
                <a:latin typeface="Gill Sans Ultra Bold" panose="020B0A02020104020203" pitchFamily="34" charset="77"/>
              </a:rPr>
              <a:t>NVIDIA  </a:t>
            </a:r>
            <a:r>
              <a:rPr lang="en-GB" sz="4400" b="1">
                <a:solidFill>
                  <a:schemeClr val="tx1"/>
                </a:solidFill>
                <a:latin typeface="Braggadocio" pitchFamily="82" charset="77"/>
              </a:rPr>
              <a:t> </a:t>
            </a:r>
            <a:r>
              <a:rPr lang="en-GB" sz="4400" b="1">
                <a:solidFill>
                  <a:schemeClr val="accent3">
                    <a:lumMod val="50000"/>
                  </a:schemeClr>
                </a:solidFill>
              </a:rPr>
              <a:t> </a:t>
            </a:r>
            <a:r>
              <a:rPr lang="en-GB" sz="2800" b="1">
                <a:solidFill>
                  <a:schemeClr val="accent3">
                    <a:lumMod val="50000"/>
                  </a:schemeClr>
                </a:solidFill>
              </a:rPr>
              <a:t>     </a:t>
            </a:r>
          </a:p>
          <a:p>
            <a:pPr algn="l"/>
            <a:r>
              <a:rPr lang="en-GB" sz="2800" b="1">
                <a:solidFill>
                  <a:schemeClr val="accent3">
                    <a:lumMod val="50000"/>
                  </a:schemeClr>
                </a:solidFill>
              </a:rPr>
              <a:t>                                                                              </a:t>
            </a:r>
            <a:r>
              <a:rPr lang="en-GB" sz="2800" b="1" baseline="0">
                <a:solidFill>
                  <a:schemeClr val="accent3">
                    <a:lumMod val="50000"/>
                  </a:schemeClr>
                </a:solidFill>
              </a:rPr>
              <a:t>   </a:t>
            </a:r>
            <a:endParaRPr lang="en-GB" sz="2000" b="1">
              <a:solidFill>
                <a:schemeClr val="tx1"/>
              </a:solidFill>
            </a:endParaRPr>
          </a:p>
          <a:p>
            <a:pPr algn="l"/>
            <a:r>
              <a:rPr lang="en-GB" sz="2000" b="1">
                <a:solidFill>
                  <a:schemeClr val="accent3">
                    <a:lumMod val="50000"/>
                  </a:schemeClr>
                </a:solidFill>
              </a:rPr>
              <a:t>                                                                      </a:t>
            </a:r>
          </a:p>
        </xdr:txBody>
      </xdr:sp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74AF17E7-ECBC-175A-1B36-557F0CB711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8798201" y="210829"/>
            <a:ext cx="7288091" cy="1804536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>
    <xdr:from>
      <xdr:col>0</xdr:col>
      <xdr:colOff>88900</xdr:colOff>
      <xdr:row>6</xdr:row>
      <xdr:rowOff>127001</xdr:rowOff>
    </xdr:from>
    <xdr:to>
      <xdr:col>21</xdr:col>
      <xdr:colOff>444500</xdr:colOff>
      <xdr:row>15</xdr:row>
      <xdr:rowOff>133032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C0B62279-CF92-CF4B-AD3C-C949CBE8F4D7}"/>
            </a:ext>
          </a:extLst>
        </xdr:cNvPr>
        <xdr:cNvGrpSpPr/>
      </xdr:nvGrpSpPr>
      <xdr:grpSpPr>
        <a:xfrm>
          <a:off x="88900" y="1346201"/>
          <a:ext cx="17691100" cy="1834831"/>
          <a:chOff x="511421" y="2404243"/>
          <a:chExt cx="23450525" cy="3220043"/>
        </a:xfrm>
      </xdr:grpSpPr>
      <xdr:sp macro="" textlink="">
        <xdr:nvSpPr>
          <xdr:cNvPr id="12" name="Round Diagonal Corner of Rectangle 11">
            <a:extLst>
              <a:ext uri="{FF2B5EF4-FFF2-40B4-BE49-F238E27FC236}">
                <a16:creationId xmlns:a16="http://schemas.microsoft.com/office/drawing/2014/main" id="{4FE7AD9F-2A5A-EC11-1114-FB02026CCC84}"/>
              </a:ext>
            </a:extLst>
          </xdr:cNvPr>
          <xdr:cNvSpPr/>
        </xdr:nvSpPr>
        <xdr:spPr>
          <a:xfrm>
            <a:off x="511421" y="2404243"/>
            <a:ext cx="23450525" cy="3220043"/>
          </a:xfrm>
          <a:prstGeom prst="round2DiagRect">
            <a:avLst/>
          </a:prstGeom>
          <a:gradFill flip="none" rotWithShape="1">
            <a:gsLst>
              <a:gs pos="0">
                <a:schemeClr val="accent3">
                  <a:lumMod val="67000"/>
                </a:schemeClr>
              </a:gs>
              <a:gs pos="48000">
                <a:schemeClr val="accent3">
                  <a:lumMod val="97000"/>
                  <a:lumOff val="3000"/>
                </a:schemeClr>
              </a:gs>
              <a:gs pos="100000">
                <a:schemeClr val="accent3">
                  <a:lumMod val="60000"/>
                  <a:lumOff val="40000"/>
                </a:schemeClr>
              </a:gs>
            </a:gsLst>
            <a:lin ang="16200000" scaled="1"/>
            <a:tileRect/>
          </a:gradFill>
          <a:scene3d>
            <a:camera prst="orthographicFront"/>
            <a:lightRig rig="threePt" dir="t"/>
          </a:scene3d>
          <a:sp3d>
            <a:bevelT w="88900" h="88900" prst="slope"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400"/>
              <a:t>                           </a:t>
            </a:r>
          </a:p>
          <a:p>
            <a:pPr algn="l"/>
            <a:endParaRPr lang="en-GB" sz="1100"/>
          </a:p>
        </xdr:txBody>
      </xdr: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5C76FD97-B5CA-6B5F-6588-7DFBFAAD64B9}"/>
              </a:ext>
            </a:extLst>
          </xdr:cNvPr>
          <xdr:cNvGrpSpPr/>
        </xdr:nvGrpSpPr>
        <xdr:grpSpPr>
          <a:xfrm>
            <a:off x="744379" y="2560256"/>
            <a:ext cx="22934026" cy="2986581"/>
            <a:chOff x="128596" y="2563672"/>
            <a:chExt cx="14547893" cy="1874121"/>
          </a:xfrm>
        </xdr:grpSpPr>
        <xdr:sp macro="" textlink="">
          <xdr:nvSpPr>
            <xdr:cNvPr id="14" name="Rounded Rectangle 13">
              <a:extLst>
                <a:ext uri="{FF2B5EF4-FFF2-40B4-BE49-F238E27FC236}">
                  <a16:creationId xmlns:a16="http://schemas.microsoft.com/office/drawing/2014/main" id="{5D1814AC-1485-16A8-482B-337CAD02E32A}"/>
                </a:ext>
              </a:extLst>
            </xdr:cNvPr>
            <xdr:cNvSpPr/>
          </xdr:nvSpPr>
          <xdr:spPr>
            <a:xfrm>
              <a:off x="2930700" y="2563672"/>
              <a:ext cx="2773920" cy="1804191"/>
            </a:xfrm>
            <a:prstGeom prst="roundRect">
              <a:avLst/>
            </a:prstGeom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2400" b="1">
                  <a:solidFill>
                    <a:schemeClr val="accent3">
                      <a:lumMod val="60000"/>
                      <a:lumOff val="40000"/>
                    </a:schemeClr>
                  </a:solidFill>
                </a:rPr>
                <a:t>                 </a:t>
              </a:r>
              <a:r>
                <a:rPr lang="en-GB" sz="2400" b="1" baseline="0">
                  <a:solidFill>
                    <a:schemeClr val="accent3">
                      <a:lumMod val="60000"/>
                      <a:lumOff val="40000"/>
                    </a:schemeClr>
                  </a:solidFill>
                </a:rPr>
                <a:t> </a:t>
              </a:r>
              <a:r>
                <a:rPr lang="en-GB" sz="2400" b="1">
                  <a:solidFill>
                    <a:schemeClr val="bg1"/>
                  </a:solidFill>
                </a:rPr>
                <a:t>Revenue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800" b="0">
                  <a:solidFill>
                    <a:schemeClr val="accent3">
                      <a:lumMod val="60000"/>
                      <a:lumOff val="40000"/>
                    </a:schemeClr>
                  </a:solidFill>
                </a:rPr>
                <a:t>                         $253.49 B</a:t>
              </a:r>
            </a:p>
            <a:p>
              <a:pPr algn="l"/>
              <a:endParaRPr lang="en-GB" sz="1100"/>
            </a:p>
          </xdr:txBody>
        </xdr:sp>
        <xdr:sp macro="" textlink="">
          <xdr:nvSpPr>
            <xdr:cNvPr id="15" name="Rounded Rectangle 14">
              <a:extLst>
                <a:ext uri="{FF2B5EF4-FFF2-40B4-BE49-F238E27FC236}">
                  <a16:creationId xmlns:a16="http://schemas.microsoft.com/office/drawing/2014/main" id="{691FDDCA-AF2B-F288-946B-4959C64ECD4D}"/>
                </a:ext>
              </a:extLst>
            </xdr:cNvPr>
            <xdr:cNvSpPr/>
          </xdr:nvSpPr>
          <xdr:spPr>
            <a:xfrm>
              <a:off x="128596" y="2563673"/>
              <a:ext cx="2687675" cy="1818175"/>
            </a:xfrm>
            <a:prstGeom prst="roundRect">
              <a:avLst/>
            </a:prstGeom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2000" b="1">
                  <a:solidFill>
                    <a:schemeClr val="bg1"/>
                  </a:solidFill>
                </a:rPr>
                <a:t>Market cap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800" b="0">
                  <a:solidFill>
                    <a:schemeClr val="accent3">
                      <a:lumMod val="60000"/>
                      <a:lumOff val="40000"/>
                    </a:schemeClr>
                  </a:solidFill>
                </a:rPr>
                <a:t>$5.15 T</a:t>
              </a:r>
            </a:p>
            <a:p>
              <a:pPr algn="l"/>
              <a:endParaRPr lang="en-GB" sz="1100"/>
            </a:p>
          </xdr:txBody>
        </xdr:sp>
        <xdr:sp macro="" textlink="">
          <xdr:nvSpPr>
            <xdr:cNvPr id="16" name="Rounded Rectangle 15">
              <a:extLst>
                <a:ext uri="{FF2B5EF4-FFF2-40B4-BE49-F238E27FC236}">
                  <a16:creationId xmlns:a16="http://schemas.microsoft.com/office/drawing/2014/main" id="{599B8574-4CB0-0950-1749-394949F7DFF3}"/>
                </a:ext>
              </a:extLst>
            </xdr:cNvPr>
            <xdr:cNvSpPr/>
          </xdr:nvSpPr>
          <xdr:spPr>
            <a:xfrm>
              <a:off x="5821001" y="2577657"/>
              <a:ext cx="2930668" cy="1776220"/>
            </a:xfrm>
            <a:prstGeom prst="roundRect">
              <a:avLst/>
            </a:prstGeom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2400">
                  <a:solidFill>
                    <a:schemeClr val="bg1"/>
                  </a:solidFill>
                </a:rPr>
                <a:t>             </a:t>
              </a:r>
              <a:r>
                <a:rPr lang="en-GB" sz="2400" baseline="0">
                  <a:solidFill>
                    <a:schemeClr val="bg1"/>
                  </a:solidFill>
                </a:rPr>
                <a:t> </a:t>
              </a:r>
              <a:r>
                <a:rPr lang="en-GB" sz="2400">
                  <a:solidFill>
                    <a:schemeClr val="bg1"/>
                  </a:solidFill>
                </a:rPr>
                <a:t> </a:t>
              </a:r>
              <a:r>
                <a:rPr lang="en-GB" sz="2400" b="1">
                  <a:solidFill>
                    <a:schemeClr val="bg1"/>
                  </a:solidFill>
                </a:rPr>
                <a:t>Net</a:t>
              </a:r>
              <a:r>
                <a:rPr lang="en-GB" sz="2400" b="1" baseline="0">
                  <a:solidFill>
                    <a:schemeClr val="bg1"/>
                  </a:solidFill>
                </a:rPr>
                <a:t> Profit</a:t>
              </a:r>
            </a:p>
            <a:p>
              <a:pPr algn="l"/>
              <a:r>
                <a:rPr lang="en-IN" sz="1800" b="0">
                  <a:solidFill>
                    <a:schemeClr val="accent3">
                      <a:lumMod val="60000"/>
                      <a:lumOff val="40000"/>
                    </a:schemeClr>
                  </a:solidFill>
                </a:rPr>
                <a:t>                       $159.61</a:t>
              </a:r>
              <a:r>
                <a:rPr lang="en-IN" sz="1800" b="0" baseline="0">
                  <a:solidFill>
                    <a:schemeClr val="accent3">
                      <a:lumMod val="60000"/>
                      <a:lumOff val="40000"/>
                    </a:schemeClr>
                  </a:solidFill>
                </a:rPr>
                <a:t> </a:t>
              </a:r>
              <a:r>
                <a:rPr lang="en-IN" sz="1800" b="0">
                  <a:solidFill>
                    <a:schemeClr val="accent3">
                      <a:lumMod val="60000"/>
                      <a:lumOff val="40000"/>
                    </a:schemeClr>
                  </a:solidFill>
                </a:rPr>
                <a:t>B</a:t>
              </a:r>
            </a:p>
            <a:p>
              <a:pPr algn="l"/>
              <a:endParaRPr lang="en-GB" sz="1100"/>
            </a:p>
          </xdr:txBody>
        </xdr:sp>
        <xdr:sp macro="" textlink="">
          <xdr:nvSpPr>
            <xdr:cNvPr id="17" name="Rounded Rectangle 16">
              <a:extLst>
                <a:ext uri="{FF2B5EF4-FFF2-40B4-BE49-F238E27FC236}">
                  <a16:creationId xmlns:a16="http://schemas.microsoft.com/office/drawing/2014/main" id="{C0DFBB87-967C-9123-63C8-41B60CDEAA19}"/>
                </a:ext>
              </a:extLst>
            </xdr:cNvPr>
            <xdr:cNvSpPr/>
          </xdr:nvSpPr>
          <xdr:spPr>
            <a:xfrm>
              <a:off x="8857470" y="2605630"/>
              <a:ext cx="2835450" cy="1734261"/>
            </a:xfrm>
            <a:prstGeom prst="roundRect">
              <a:avLst/>
            </a:prstGeom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2400" b="1">
                  <a:solidFill>
                    <a:schemeClr val="bg1"/>
                  </a:solidFill>
                </a:rPr>
                <a:t>P/E Ratio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800" b="0">
                  <a:solidFill>
                    <a:schemeClr val="accent3">
                      <a:lumMod val="60000"/>
                      <a:lumOff val="40000"/>
                    </a:schemeClr>
                  </a:solidFill>
                </a:rPr>
                <a:t>32.5</a:t>
              </a:r>
            </a:p>
            <a:p>
              <a:pPr algn="l"/>
              <a:endParaRPr lang="en-GB" sz="1100"/>
            </a:p>
          </xdr:txBody>
        </xdr:sp>
        <xdr:sp macro="" textlink="">
          <xdr:nvSpPr>
            <xdr:cNvPr id="18" name="Rounded Rectangle 17">
              <a:extLst>
                <a:ext uri="{FF2B5EF4-FFF2-40B4-BE49-F238E27FC236}">
                  <a16:creationId xmlns:a16="http://schemas.microsoft.com/office/drawing/2014/main" id="{57AA6FFD-6BE3-BAE2-4806-C0F7D6CBA1E2}"/>
                </a:ext>
              </a:extLst>
            </xdr:cNvPr>
            <xdr:cNvSpPr/>
          </xdr:nvSpPr>
          <xdr:spPr>
            <a:xfrm>
              <a:off x="11823815" y="2615263"/>
              <a:ext cx="2852674" cy="1738614"/>
            </a:xfrm>
            <a:prstGeom prst="roundRect">
              <a:avLst/>
            </a:prstGeom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2400" b="1">
                  <a:solidFill>
                    <a:schemeClr val="bg1"/>
                  </a:solidFill>
                </a:rPr>
                <a:t>Stock</a:t>
              </a:r>
              <a:r>
                <a:rPr lang="en-IN" sz="2400" b="1" baseline="0">
                  <a:solidFill>
                    <a:schemeClr val="bg1"/>
                  </a:solidFill>
                </a:rPr>
                <a:t> price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800" b="0">
                  <a:solidFill>
                    <a:schemeClr val="accent3">
                      <a:lumMod val="60000"/>
                      <a:lumOff val="40000"/>
                    </a:schemeClr>
                  </a:solidFill>
                </a:rPr>
                <a:t> $212.45</a:t>
              </a:r>
            </a:p>
            <a:p>
              <a:pPr algn="l"/>
              <a:endParaRPr lang="en-GB" sz="1100"/>
            </a:p>
          </xdr:txBody>
        </xdr:sp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F4C324CA-B157-7D7F-7510-5FAC6C5242B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alphaModFix amt="70000"/>
            </a:blip>
            <a:srcRect l="6832" t="40565" r="11180" b="13122"/>
            <a:stretch>
              <a:fillRect/>
            </a:stretch>
          </xdr:blipFill>
          <xdr:spPr>
            <a:xfrm>
              <a:off x="11986410" y="3414699"/>
              <a:ext cx="2403767" cy="863033"/>
            </a:xfrm>
            <a:prstGeom prst="rect">
              <a:avLst/>
            </a:prstGeom>
          </xdr:spPr>
        </xdr:pic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B79DB81C-1A3A-3AD7-7B1D-F714A1651F3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>
              <a:alphaModFix amt="50000"/>
            </a:blip>
            <a:srcRect l="10593" t="2337" r="13136" b="18223"/>
            <a:stretch>
              <a:fillRect/>
            </a:stretch>
          </xdr:blipFill>
          <xdr:spPr>
            <a:xfrm>
              <a:off x="6191302" y="3497240"/>
              <a:ext cx="2190067" cy="780390"/>
            </a:xfrm>
            <a:prstGeom prst="rect">
              <a:avLst/>
            </a:prstGeom>
          </xdr:spPr>
        </xdr:pic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4C2A74B1-0984-9357-6D84-79210F3E724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>
              <a:alphaModFix amt="50000"/>
            </a:blip>
            <a:srcRect l="18046" t="4685" r="10811" b="18793"/>
            <a:stretch>
              <a:fillRect/>
            </a:stretch>
          </xdr:blipFill>
          <xdr:spPr>
            <a:xfrm>
              <a:off x="3091353" y="3453200"/>
              <a:ext cx="2475728" cy="839147"/>
            </a:xfrm>
            <a:prstGeom prst="rect">
              <a:avLst/>
            </a:prstGeom>
          </xdr:spPr>
        </xdr:pic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B30149E0-7B6E-93FE-CE91-4416ABF1CE1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/>
            <a:srcRect t="31081" b="17568"/>
            <a:stretch>
              <a:fillRect/>
            </a:stretch>
          </xdr:blipFill>
          <xdr:spPr>
            <a:xfrm flipH="1">
              <a:off x="1021666" y="3491658"/>
              <a:ext cx="821241" cy="834245"/>
            </a:xfrm>
            <a:prstGeom prst="rect">
              <a:avLst/>
            </a:prstGeom>
          </xdr:spPr>
        </xdr:pic>
        <xdr:pic>
          <xdr:nvPicPr>
            <xdr:cNvPr id="23" name="Picture 22">
              <a:extLst>
                <a:ext uri="{FF2B5EF4-FFF2-40B4-BE49-F238E27FC236}">
                  <a16:creationId xmlns:a16="http://schemas.microsoft.com/office/drawing/2014/main" id="{C0147485-228A-B696-CE0D-919A43E7D5D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">
              <a:alphaModFix amt="50000"/>
              <a:extLst>
                <a:ext uri="{BEBA8EAE-BF5A-486C-A8C5-ECC9F3942E4B}">
                  <a14:imgProps xmlns:a14="http://schemas.microsoft.com/office/drawing/2010/main">
                    <a14:imgLayer r:embed="rId7">
                      <a14:imgEffect>
                        <a14:backgroundRemoval t="10000" b="90000" l="10000" r="90000"/>
                      </a14:imgEffect>
                    </a14:imgLayer>
                  </a14:imgProps>
                </a:ext>
              </a:extLst>
            </a:blip>
            <a:srcRect l="11043" t="8096" r="8087" b="22976"/>
            <a:stretch/>
          </xdr:blipFill>
          <xdr:spPr>
            <a:xfrm>
              <a:off x="9206612" y="3304928"/>
              <a:ext cx="2010206" cy="1132865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165100</xdr:colOff>
      <xdr:row>16</xdr:row>
      <xdr:rowOff>114300</xdr:rowOff>
    </xdr:from>
    <xdr:to>
      <xdr:col>7</xdr:col>
      <xdr:colOff>76200</xdr:colOff>
      <xdr:row>31</xdr:row>
      <xdr:rowOff>101600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FEB9219-1A4E-9440-B4CF-FA1825DAC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266700</xdr:colOff>
      <xdr:row>16</xdr:row>
      <xdr:rowOff>76200</xdr:rowOff>
    </xdr:from>
    <xdr:to>
      <xdr:col>14</xdr:col>
      <xdr:colOff>241300</xdr:colOff>
      <xdr:row>31</xdr:row>
      <xdr:rowOff>88900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354D348-E970-A643-8E68-8F9F44E64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254000</xdr:colOff>
      <xdr:row>32</xdr:row>
      <xdr:rowOff>0</xdr:rowOff>
    </xdr:from>
    <xdr:to>
      <xdr:col>14</xdr:col>
      <xdr:colOff>279400</xdr:colOff>
      <xdr:row>47</xdr:row>
      <xdr:rowOff>76200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F901644-4741-5E42-9112-A4488553A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165100</xdr:colOff>
      <xdr:row>32</xdr:row>
      <xdr:rowOff>12701</xdr:rowOff>
    </xdr:from>
    <xdr:to>
      <xdr:col>7</xdr:col>
      <xdr:colOff>88900</xdr:colOff>
      <xdr:row>47</xdr:row>
      <xdr:rowOff>63500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F8ECC9C-847B-9344-A5F6-E6552A88C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342900</xdr:colOff>
      <xdr:row>16</xdr:row>
      <xdr:rowOff>12701</xdr:rowOff>
    </xdr:from>
    <xdr:to>
      <xdr:col>21</xdr:col>
      <xdr:colOff>406400</xdr:colOff>
      <xdr:row>33</xdr:row>
      <xdr:rowOff>165100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099B743-A887-1F41-81F7-4376C3D38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393700</xdr:colOff>
      <xdr:row>0</xdr:row>
      <xdr:rowOff>38101</xdr:rowOff>
    </xdr:from>
    <xdr:to>
      <xdr:col>2</xdr:col>
      <xdr:colOff>533020</xdr:colOff>
      <xdr:row>5</xdr:row>
      <xdr:rowOff>25401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5788F5D-91F4-47FE-E3C2-CE04AEEEB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38101"/>
          <a:ext cx="1790320" cy="100330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</xdr:pic>
    <xdr:clientData/>
  </xdr:twoCellAnchor>
  <xdr:twoCellAnchor>
    <xdr:from>
      <xdr:col>14</xdr:col>
      <xdr:colOff>368300</xdr:colOff>
      <xdr:row>34</xdr:row>
      <xdr:rowOff>38100</xdr:rowOff>
    </xdr:from>
    <xdr:to>
      <xdr:col>21</xdr:col>
      <xdr:colOff>444500</xdr:colOff>
      <xdr:row>47</xdr:row>
      <xdr:rowOff>63500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0B6F0B8-92A0-F645-B958-61D16B8A8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444500</xdr:colOff>
      <xdr:row>2</xdr:row>
      <xdr:rowOff>28842</xdr:rowOff>
    </xdr:from>
    <xdr:to>
      <xdr:col>13</xdr:col>
      <xdr:colOff>12699</xdr:colOff>
      <xdr:row>3</xdr:row>
      <xdr:rowOff>177800</xdr:rowOff>
    </xdr:to>
    <xdr:sp macro="" textlink="">
      <xdr:nvSpPr>
        <xdr:cNvPr id="35" name="Rounded Rectangle 34">
          <a:extLst>
            <a:ext uri="{FF2B5EF4-FFF2-40B4-BE49-F238E27FC236}">
              <a16:creationId xmlns:a16="http://schemas.microsoft.com/office/drawing/2014/main" id="{1C3F5343-C6F1-EA45-9BF3-B4615D3745FC}"/>
            </a:ext>
          </a:extLst>
        </xdr:cNvPr>
        <xdr:cNvSpPr/>
      </xdr:nvSpPr>
      <xdr:spPr>
        <a:xfrm>
          <a:off x="8699500" y="435242"/>
          <a:ext cx="2044699" cy="352158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bg1"/>
              </a:solidFill>
            </a:rPr>
            <a:t>Website : </a:t>
          </a:r>
          <a:r>
            <a:rPr lang="en-GB" sz="1600" b="1" u="sng">
              <a:solidFill>
                <a:schemeClr val="bg1"/>
              </a:solidFill>
            </a:rPr>
            <a:t>nvidia.com</a:t>
          </a:r>
        </a:p>
      </xdr:txBody>
    </xdr:sp>
    <xdr:clientData/>
  </xdr:twoCellAnchor>
  <xdr:twoCellAnchor>
    <xdr:from>
      <xdr:col>5</xdr:col>
      <xdr:colOff>304800</xdr:colOff>
      <xdr:row>1</xdr:row>
      <xdr:rowOff>193942</xdr:rowOff>
    </xdr:from>
    <xdr:to>
      <xdr:col>8</xdr:col>
      <xdr:colOff>59243</xdr:colOff>
      <xdr:row>3</xdr:row>
      <xdr:rowOff>202093</xdr:rowOff>
    </xdr:to>
    <xdr:sp macro="" textlink="">
      <xdr:nvSpPr>
        <xdr:cNvPr id="36" name="Rounded Rectangle 35">
          <a:extLst>
            <a:ext uri="{FF2B5EF4-FFF2-40B4-BE49-F238E27FC236}">
              <a16:creationId xmlns:a16="http://schemas.microsoft.com/office/drawing/2014/main" id="{3138630C-C62E-3448-9438-FEF42989047A}"/>
            </a:ext>
          </a:extLst>
        </xdr:cNvPr>
        <xdr:cNvSpPr/>
      </xdr:nvSpPr>
      <xdr:spPr>
        <a:xfrm>
          <a:off x="4432300" y="397142"/>
          <a:ext cx="2230943" cy="414551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bg1"/>
              </a:solidFill>
            </a:rPr>
            <a:t>Founder : Jensen Haung</a:t>
          </a:r>
        </a:p>
      </xdr:txBody>
    </xdr:sp>
    <xdr:clientData/>
  </xdr:twoCellAnchor>
  <xdr:twoCellAnchor>
    <xdr:from>
      <xdr:col>8</xdr:col>
      <xdr:colOff>304800</xdr:colOff>
      <xdr:row>2</xdr:row>
      <xdr:rowOff>3442</xdr:rowOff>
    </xdr:from>
    <xdr:to>
      <xdr:col>10</xdr:col>
      <xdr:colOff>215900</xdr:colOff>
      <xdr:row>3</xdr:row>
      <xdr:rowOff>198211</xdr:rowOff>
    </xdr:to>
    <xdr:sp macro="" textlink="">
      <xdr:nvSpPr>
        <xdr:cNvPr id="37" name="Rounded Rectangle 36">
          <a:extLst>
            <a:ext uri="{FF2B5EF4-FFF2-40B4-BE49-F238E27FC236}">
              <a16:creationId xmlns:a16="http://schemas.microsoft.com/office/drawing/2014/main" id="{8A6B6740-2A41-324E-B135-9F84B677BF6C}"/>
            </a:ext>
          </a:extLst>
        </xdr:cNvPr>
        <xdr:cNvSpPr/>
      </xdr:nvSpPr>
      <xdr:spPr>
        <a:xfrm>
          <a:off x="6908800" y="409842"/>
          <a:ext cx="1562100" cy="397969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bg1"/>
              </a:solidFill>
            </a:rPr>
            <a:t>Founded : 1993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06CE6-5BF7-EF4F-90BA-D42D2910539D}" name="Table1" displayName="Table1" ref="N4:P9" totalsRowShown="0">
  <autoFilter ref="N4:P9" xr:uid="{80806CE6-5BF7-EF4F-90BA-D42D2910539D}"/>
  <tableColumns count="3">
    <tableColumn id="1" xr3:uid="{68A9A1C3-55CB-6F49-853A-CA6F98B0B275}" name="Market Category"/>
    <tableColumn id="2" xr3:uid="{42E38979-1F67-5549-A071-F392ABA42137}" name="Revenue (USD Billions)"/>
    <tableColumn id="3" xr3:uid="{490126EB-AE97-7B4A-BB41-3DED090E662A}" name="Contribution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A6A4-F00D-764B-9820-E584472D0C29}">
  <dimension ref="A1:P27"/>
  <sheetViews>
    <sheetView zoomScale="107" zoomScaleNormal="107" workbookViewId="0">
      <selection activeCell="H32" sqref="H32"/>
    </sheetView>
  </sheetViews>
  <sheetFormatPr baseColWidth="10" defaultRowHeight="16" x14ac:dyDescent="0.2"/>
  <cols>
    <col min="2" max="2" width="12.1640625" bestFit="1" customWidth="1"/>
    <col min="6" max="6" width="16.1640625" bestFit="1" customWidth="1"/>
    <col min="7" max="7" width="12.83203125" bestFit="1" customWidth="1"/>
    <col min="8" max="8" width="15.6640625" bestFit="1" customWidth="1"/>
    <col min="9" max="9" width="11.5" bestFit="1" customWidth="1"/>
    <col min="11" max="11" width="18" bestFit="1" customWidth="1"/>
    <col min="12" max="12" width="15" bestFit="1" customWidth="1"/>
    <col min="13" max="13" width="12" bestFit="1" customWidth="1"/>
  </cols>
  <sheetData>
    <row r="1" spans="1:16" ht="19" x14ac:dyDescent="0.25">
      <c r="A1" s="3" t="s">
        <v>0</v>
      </c>
      <c r="B1" s="3" t="s">
        <v>1</v>
      </c>
      <c r="C1" s="3" t="s">
        <v>8</v>
      </c>
      <c r="D1" s="3" t="s">
        <v>2</v>
      </c>
      <c r="E1" s="3" t="s">
        <v>9</v>
      </c>
      <c r="F1" s="3" t="s">
        <v>10</v>
      </c>
      <c r="G1" s="3" t="s">
        <v>3</v>
      </c>
      <c r="H1" s="3" t="s">
        <v>4</v>
      </c>
      <c r="I1" s="3" t="s">
        <v>5</v>
      </c>
      <c r="J1" s="3" t="s">
        <v>6</v>
      </c>
      <c r="K1" s="4" t="s">
        <v>7</v>
      </c>
      <c r="L1" s="4" t="s">
        <v>11</v>
      </c>
      <c r="O1" s="1"/>
      <c r="P1" s="1"/>
    </row>
    <row r="2" spans="1:16" x14ac:dyDescent="0.2">
      <c r="A2">
        <v>2001</v>
      </c>
      <c r="B2">
        <v>0.89</v>
      </c>
      <c r="C2">
        <v>1.36</v>
      </c>
      <c r="D2">
        <v>0.24</v>
      </c>
      <c r="E2">
        <v>6.44</v>
      </c>
      <c r="F2">
        <v>0</v>
      </c>
      <c r="G2">
        <v>1.01</v>
      </c>
      <c r="H2">
        <v>0.6</v>
      </c>
      <c r="I2">
        <v>0.4</v>
      </c>
      <c r="J2">
        <v>0.3</v>
      </c>
      <c r="K2" s="2">
        <v>0.19689999999999999</v>
      </c>
      <c r="L2" s="1">
        <v>0.67</v>
      </c>
      <c r="O2" s="2"/>
      <c r="P2" s="1"/>
    </row>
    <row r="3" spans="1:16" x14ac:dyDescent="0.2">
      <c r="A3">
        <v>2002</v>
      </c>
      <c r="B3">
        <v>0.15</v>
      </c>
      <c r="C3">
        <v>1.9</v>
      </c>
      <c r="D3">
        <v>0.14000000000000001</v>
      </c>
      <c r="E3">
        <v>1.2</v>
      </c>
      <c r="F3">
        <v>0</v>
      </c>
      <c r="G3">
        <v>1.5</v>
      </c>
      <c r="H3">
        <v>0.73</v>
      </c>
      <c r="I3">
        <v>0.76</v>
      </c>
      <c r="J3">
        <v>0.3</v>
      </c>
      <c r="K3" s="2">
        <v>0.18459999999999999</v>
      </c>
      <c r="L3" s="1">
        <v>0.79</v>
      </c>
      <c r="O3" s="2"/>
      <c r="P3" s="1"/>
    </row>
    <row r="4" spans="1:16" x14ac:dyDescent="0.2">
      <c r="A4">
        <v>2003</v>
      </c>
      <c r="B4">
        <v>0.28000000000000003</v>
      </c>
      <c r="C4">
        <v>1.82</v>
      </c>
      <c r="D4">
        <v>9.3649999999999997E-2</v>
      </c>
      <c r="E4">
        <v>2.5</v>
      </c>
      <c r="F4">
        <v>0</v>
      </c>
      <c r="G4">
        <v>1.61</v>
      </c>
      <c r="H4">
        <v>0.68</v>
      </c>
      <c r="I4">
        <v>0.93</v>
      </c>
      <c r="J4">
        <v>0.31</v>
      </c>
      <c r="K4" s="2">
        <v>7.8799999999999995E-2</v>
      </c>
      <c r="L4" s="1">
        <v>1.02</v>
      </c>
      <c r="O4" s="2"/>
      <c r="P4" s="1"/>
    </row>
    <row r="5" spans="1:16" x14ac:dyDescent="0.2">
      <c r="A5">
        <v>2004</v>
      </c>
      <c r="B5">
        <v>0.28999999999999998</v>
      </c>
      <c r="C5">
        <v>2.0099999999999998</v>
      </c>
      <c r="D5">
        <v>0.11</v>
      </c>
      <c r="E5">
        <v>3.91</v>
      </c>
      <c r="F5">
        <v>0</v>
      </c>
      <c r="G5">
        <v>1.39</v>
      </c>
      <c r="H5">
        <v>0.34</v>
      </c>
      <c r="I5">
        <v>1.05</v>
      </c>
      <c r="J5">
        <v>4.8700000000000002E-3</v>
      </c>
      <c r="K5" s="2">
        <v>4.7500000000000001E-2</v>
      </c>
      <c r="L5" s="1">
        <v>0.6</v>
      </c>
      <c r="O5" s="2"/>
      <c r="P5" s="1"/>
    </row>
    <row r="6" spans="1:16" x14ac:dyDescent="0.2">
      <c r="A6">
        <v>2005</v>
      </c>
      <c r="B6">
        <v>0.45</v>
      </c>
      <c r="C6">
        <v>2.37</v>
      </c>
      <c r="D6">
        <v>0.33</v>
      </c>
      <c r="E6">
        <v>6.25</v>
      </c>
      <c r="F6">
        <v>0</v>
      </c>
      <c r="G6">
        <v>1.62</v>
      </c>
      <c r="H6">
        <v>0.45</v>
      </c>
      <c r="I6">
        <v>1.17</v>
      </c>
      <c r="J6">
        <v>8.4999999999999995E-4</v>
      </c>
      <c r="K6" s="2">
        <v>5.3199999999999997E-2</v>
      </c>
      <c r="L6" s="1">
        <v>0.67</v>
      </c>
      <c r="O6" s="2"/>
      <c r="P6" s="1"/>
    </row>
    <row r="7" spans="1:16" x14ac:dyDescent="0.2">
      <c r="A7">
        <v>2006</v>
      </c>
      <c r="B7">
        <v>0.87</v>
      </c>
      <c r="C7">
        <v>3.06</v>
      </c>
      <c r="D7">
        <v>0.45</v>
      </c>
      <c r="E7">
        <v>13.15</v>
      </c>
      <c r="F7">
        <v>0</v>
      </c>
      <c r="G7">
        <v>1.95</v>
      </c>
      <c r="H7">
        <v>0.45</v>
      </c>
      <c r="I7">
        <v>1.49</v>
      </c>
      <c r="J7">
        <f>AVERAGE(J10:J27)</f>
        <v>3.5196174999999998</v>
      </c>
      <c r="K7" s="2">
        <v>0.1502</v>
      </c>
      <c r="L7" s="1">
        <v>0.95</v>
      </c>
      <c r="O7" s="2"/>
      <c r="P7" s="1"/>
    </row>
    <row r="8" spans="1:16" x14ac:dyDescent="0.2">
      <c r="A8">
        <v>2007</v>
      </c>
      <c r="B8">
        <v>1.23</v>
      </c>
      <c r="C8">
        <v>4.09</v>
      </c>
      <c r="D8">
        <v>0.83</v>
      </c>
      <c r="E8">
        <v>18.899999999999999</v>
      </c>
      <c r="F8">
        <v>0</v>
      </c>
      <c r="G8">
        <v>2.67</v>
      </c>
      <c r="H8">
        <v>0.66</v>
      </c>
      <c r="I8">
        <v>2</v>
      </c>
      <c r="J8">
        <f>AVERAGE(J9:J27,J2:J7)</f>
        <v>2.8044246739130427</v>
      </c>
      <c r="K8" s="2">
        <v>0.16109999999999999</v>
      </c>
      <c r="L8" s="1">
        <v>1.1100000000000001</v>
      </c>
      <c r="O8" s="2"/>
      <c r="P8" s="1"/>
    </row>
    <row r="9" spans="1:16" x14ac:dyDescent="0.2">
      <c r="A9">
        <v>2008</v>
      </c>
      <c r="B9">
        <v>0.3</v>
      </c>
      <c r="C9">
        <v>3.42</v>
      </c>
      <c r="D9">
        <v>-4.3839999999999997E-2</v>
      </c>
      <c r="E9">
        <v>4.33</v>
      </c>
      <c r="F9">
        <v>0</v>
      </c>
      <c r="G9">
        <v>3.74</v>
      </c>
      <c r="H9">
        <v>1.1200000000000001</v>
      </c>
      <c r="I9">
        <v>2.61</v>
      </c>
      <c r="J9">
        <f>AVERAGE(J11:J27)</f>
        <v>3.7525500000000003</v>
      </c>
      <c r="K9" s="2">
        <v>0.22</v>
      </c>
      <c r="L9" s="1">
        <v>1.8</v>
      </c>
      <c r="O9" s="2"/>
      <c r="P9" s="1"/>
    </row>
    <row r="10" spans="1:16" x14ac:dyDescent="0.2">
      <c r="A10">
        <v>2009</v>
      </c>
      <c r="B10">
        <v>0.64</v>
      </c>
      <c r="C10">
        <v>3.32</v>
      </c>
      <c r="D10">
        <v>-7.8979999999999995E-2</v>
      </c>
      <c r="E10">
        <v>10.36</v>
      </c>
      <c r="F10">
        <v>0</v>
      </c>
      <c r="G10">
        <v>3.35</v>
      </c>
      <c r="H10">
        <v>0.95</v>
      </c>
      <c r="I10">
        <v>2.39</v>
      </c>
      <c r="J10">
        <v>2.563E-2</v>
      </c>
      <c r="K10" s="2">
        <v>-1.2500000000000001E-2</v>
      </c>
      <c r="L10" s="1">
        <v>1.25</v>
      </c>
      <c r="O10" s="2"/>
      <c r="P10" s="1"/>
    </row>
    <row r="11" spans="1:16" x14ac:dyDescent="0.2">
      <c r="A11">
        <v>2010</v>
      </c>
      <c r="B11">
        <v>0.53</v>
      </c>
      <c r="C11">
        <v>3.54</v>
      </c>
      <c r="D11">
        <v>0.27</v>
      </c>
      <c r="E11">
        <v>8.94</v>
      </c>
      <c r="F11">
        <v>0</v>
      </c>
      <c r="G11">
        <v>3.58</v>
      </c>
      <c r="H11">
        <v>0.92</v>
      </c>
      <c r="I11">
        <v>2.66</v>
      </c>
      <c r="J11">
        <v>2.445E-2</v>
      </c>
      <c r="K11" s="2">
        <v>-2.47E-2</v>
      </c>
      <c r="L11" s="1">
        <v>1.72</v>
      </c>
      <c r="O11" s="2"/>
      <c r="P11" s="1"/>
    </row>
    <row r="12" spans="1:16" x14ac:dyDescent="0.2">
      <c r="A12">
        <v>2011</v>
      </c>
      <c r="B12">
        <v>0.46</v>
      </c>
      <c r="C12">
        <v>3.99</v>
      </c>
      <c r="D12">
        <v>0.66</v>
      </c>
      <c r="E12">
        <v>8.4600000000000009</v>
      </c>
      <c r="F12">
        <v>0</v>
      </c>
      <c r="G12">
        <v>4.49</v>
      </c>
      <c r="H12">
        <v>1.31</v>
      </c>
      <c r="I12">
        <v>3.18</v>
      </c>
      <c r="J12">
        <v>2.3380000000000001E-2</v>
      </c>
      <c r="K12" s="2">
        <v>7.6499999999999999E-2</v>
      </c>
      <c r="L12" s="1">
        <v>2.4900000000000002</v>
      </c>
      <c r="O12" s="2"/>
      <c r="P12" s="1"/>
    </row>
    <row r="13" spans="1:16" x14ac:dyDescent="0.2">
      <c r="A13">
        <v>2012</v>
      </c>
      <c r="B13">
        <v>0.41</v>
      </c>
      <c r="C13">
        <v>4.28</v>
      </c>
      <c r="D13">
        <v>0.66</v>
      </c>
      <c r="E13">
        <v>7.66</v>
      </c>
      <c r="F13">
        <v>0.66</v>
      </c>
      <c r="G13">
        <v>5.55</v>
      </c>
      <c r="H13">
        <v>1.4</v>
      </c>
      <c r="I13">
        <v>4.1399999999999997</v>
      </c>
      <c r="J13">
        <v>2.1430000000000001E-2</v>
      </c>
      <c r="K13" s="2">
        <v>0.16589999999999999</v>
      </c>
      <c r="L13" s="1">
        <v>3.12</v>
      </c>
      <c r="O13" s="2"/>
      <c r="P13" s="1"/>
    </row>
    <row r="14" spans="1:16" x14ac:dyDescent="0.2">
      <c r="A14">
        <v>2013</v>
      </c>
      <c r="B14">
        <v>0.53</v>
      </c>
      <c r="C14">
        <v>4.13</v>
      </c>
      <c r="D14">
        <v>0.53</v>
      </c>
      <c r="E14">
        <v>9.1</v>
      </c>
      <c r="F14">
        <v>2.0499999999999998</v>
      </c>
      <c r="G14">
        <v>6.41</v>
      </c>
      <c r="H14">
        <v>1.58</v>
      </c>
      <c r="I14">
        <v>4.82</v>
      </c>
      <c r="J14">
        <v>1.899E-2</v>
      </c>
      <c r="K14" s="2">
        <v>0.1547</v>
      </c>
      <c r="L14" s="1">
        <v>3.72</v>
      </c>
      <c r="O14" s="2"/>
      <c r="P14" s="1"/>
    </row>
    <row r="15" spans="1:16" x14ac:dyDescent="0.2">
      <c r="A15">
        <v>2014</v>
      </c>
      <c r="B15">
        <v>0.68</v>
      </c>
      <c r="C15">
        <v>4.68</v>
      </c>
      <c r="D15">
        <v>0.8</v>
      </c>
      <c r="E15">
        <v>10.89</v>
      </c>
      <c r="F15">
        <v>1.77</v>
      </c>
      <c r="G15">
        <v>7.25</v>
      </c>
      <c r="H15">
        <v>2.79</v>
      </c>
      <c r="I15">
        <v>4.45</v>
      </c>
      <c r="J15">
        <v>1.37</v>
      </c>
      <c r="K15" s="2">
        <v>0.1235</v>
      </c>
      <c r="L15" s="1">
        <v>4.67</v>
      </c>
      <c r="O15" s="2"/>
      <c r="P15" s="1"/>
    </row>
    <row r="16" spans="1:16" x14ac:dyDescent="0.2">
      <c r="A16">
        <v>2015</v>
      </c>
      <c r="B16">
        <v>1.1299999999999999</v>
      </c>
      <c r="C16">
        <v>5.01</v>
      </c>
      <c r="D16">
        <v>0.79</v>
      </c>
      <c r="E16">
        <v>17.73</v>
      </c>
      <c r="F16">
        <v>1.23</v>
      </c>
      <c r="G16">
        <v>7.2</v>
      </c>
      <c r="H16">
        <v>2.78</v>
      </c>
      <c r="I16">
        <v>4.41</v>
      </c>
      <c r="J16">
        <v>1.39</v>
      </c>
      <c r="K16" s="2">
        <v>0.1613</v>
      </c>
      <c r="L16" s="1">
        <v>4.62</v>
      </c>
      <c r="O16" s="2"/>
      <c r="P16" s="1"/>
    </row>
    <row r="17" spans="1:16" x14ac:dyDescent="0.2">
      <c r="A17">
        <v>2016</v>
      </c>
      <c r="B17">
        <v>3.76</v>
      </c>
      <c r="C17">
        <v>6.91</v>
      </c>
      <c r="D17">
        <v>1.96</v>
      </c>
      <c r="E17">
        <v>57.53</v>
      </c>
      <c r="F17">
        <v>0.46</v>
      </c>
      <c r="G17">
        <v>7.37</v>
      </c>
      <c r="H17">
        <v>2.9</v>
      </c>
      <c r="I17">
        <v>4.46</v>
      </c>
      <c r="J17">
        <v>1.51</v>
      </c>
      <c r="K17" s="2">
        <v>0.14829999999999999</v>
      </c>
      <c r="L17" s="1">
        <v>5.03</v>
      </c>
      <c r="O17" s="2"/>
      <c r="P17" s="1"/>
    </row>
    <row r="18" spans="1:16" x14ac:dyDescent="0.2">
      <c r="A18">
        <v>2017</v>
      </c>
      <c r="B18">
        <v>7.16</v>
      </c>
      <c r="C18">
        <v>9.7100000000000009</v>
      </c>
      <c r="D18">
        <v>3.25</v>
      </c>
      <c r="E18">
        <v>117.26</v>
      </c>
      <c r="F18">
        <v>0.3</v>
      </c>
      <c r="G18">
        <v>9.84</v>
      </c>
      <c r="H18">
        <v>4.07</v>
      </c>
      <c r="I18">
        <v>5.76</v>
      </c>
      <c r="J18">
        <v>2.81</v>
      </c>
      <c r="K18" s="2">
        <v>0.2757</v>
      </c>
      <c r="L18" s="1">
        <v>6.79</v>
      </c>
      <c r="O18" s="2"/>
      <c r="P18" s="1"/>
    </row>
    <row r="19" spans="1:16" x14ac:dyDescent="0.2">
      <c r="A19">
        <v>2018</v>
      </c>
      <c r="B19">
        <v>4.8099999999999996</v>
      </c>
      <c r="C19">
        <v>11.71</v>
      </c>
      <c r="D19">
        <v>3.95</v>
      </c>
      <c r="E19">
        <v>81.430000000000007</v>
      </c>
      <c r="F19">
        <v>0.46</v>
      </c>
      <c r="G19">
        <v>11.24</v>
      </c>
      <c r="H19">
        <v>3.77</v>
      </c>
      <c r="I19">
        <v>7.47</v>
      </c>
      <c r="J19">
        <v>2</v>
      </c>
      <c r="K19" s="2">
        <v>0.32900000000000001</v>
      </c>
      <c r="L19" s="1">
        <v>7.1</v>
      </c>
      <c r="O19" s="2"/>
      <c r="P19" s="1"/>
    </row>
    <row r="20" spans="1:16" x14ac:dyDescent="0.2">
      <c r="A20">
        <v>2019</v>
      </c>
      <c r="B20">
        <v>8.34</v>
      </c>
      <c r="C20">
        <v>10.91</v>
      </c>
      <c r="D20">
        <v>3.02</v>
      </c>
      <c r="E20">
        <v>144</v>
      </c>
      <c r="F20">
        <v>0.27</v>
      </c>
      <c r="G20">
        <v>13.29</v>
      </c>
      <c r="H20">
        <v>3.95</v>
      </c>
      <c r="I20">
        <v>9.34</v>
      </c>
      <c r="J20">
        <v>1.98</v>
      </c>
      <c r="K20" s="2">
        <v>0.33250000000000002</v>
      </c>
      <c r="L20" s="1">
        <v>7.42</v>
      </c>
      <c r="O20" s="2"/>
      <c r="P20" s="1"/>
    </row>
    <row r="21" spans="1:16" x14ac:dyDescent="0.2">
      <c r="A21">
        <v>2020</v>
      </c>
      <c r="B21">
        <v>18.18</v>
      </c>
      <c r="C21">
        <v>16.670000000000002</v>
      </c>
      <c r="D21">
        <v>4.59</v>
      </c>
      <c r="E21">
        <v>323.24</v>
      </c>
      <c r="F21">
        <v>0.12</v>
      </c>
      <c r="G21">
        <v>17.309999999999999</v>
      </c>
      <c r="H21">
        <v>5.1100000000000003</v>
      </c>
      <c r="I21">
        <v>12.2</v>
      </c>
      <c r="J21">
        <v>2.64</v>
      </c>
      <c r="K21" s="2">
        <v>0.27200000000000002</v>
      </c>
      <c r="L21" s="1">
        <v>10.89</v>
      </c>
      <c r="O21" s="2"/>
      <c r="P21" s="1"/>
    </row>
    <row r="22" spans="1:16" x14ac:dyDescent="0.2">
      <c r="A22">
        <v>2021</v>
      </c>
      <c r="B22">
        <v>40.81</v>
      </c>
      <c r="C22">
        <v>26.91</v>
      </c>
      <c r="D22">
        <v>10.17</v>
      </c>
      <c r="E22">
        <v>735.27</v>
      </c>
      <c r="F22">
        <v>0.05</v>
      </c>
      <c r="G22">
        <v>28.79</v>
      </c>
      <c r="H22">
        <v>11.89</v>
      </c>
      <c r="I22">
        <v>16.89</v>
      </c>
      <c r="J22">
        <v>7.59</v>
      </c>
      <c r="K22" s="2">
        <v>0.26440000000000002</v>
      </c>
      <c r="L22" s="1">
        <v>11.56</v>
      </c>
      <c r="O22" s="2"/>
      <c r="P22" s="1"/>
    </row>
    <row r="23" spans="1:16" x14ac:dyDescent="0.2">
      <c r="A23">
        <v>2022</v>
      </c>
      <c r="B23">
        <v>19.82</v>
      </c>
      <c r="C23">
        <v>26.97</v>
      </c>
      <c r="D23">
        <v>4.4400000000000004</v>
      </c>
      <c r="E23">
        <v>364.18</v>
      </c>
      <c r="F23">
        <v>0.11</v>
      </c>
      <c r="G23">
        <v>44.18</v>
      </c>
      <c r="H23">
        <v>17.57</v>
      </c>
      <c r="I23">
        <v>26.61</v>
      </c>
      <c r="J23">
        <v>11.83</v>
      </c>
      <c r="K23" s="2">
        <v>0.36940000000000001</v>
      </c>
      <c r="L23" s="1">
        <v>21.2</v>
      </c>
      <c r="O23" s="2"/>
      <c r="P23" s="1"/>
    </row>
    <row r="24" spans="1:16" x14ac:dyDescent="0.2">
      <c r="A24">
        <v>2023</v>
      </c>
      <c r="B24">
        <v>68</v>
      </c>
      <c r="C24">
        <v>60.92</v>
      </c>
      <c r="D24">
        <v>34.07</v>
      </c>
      <c r="E24">
        <v>1223</v>
      </c>
      <c r="F24">
        <v>0.03</v>
      </c>
      <c r="G24">
        <v>41.18</v>
      </c>
      <c r="H24">
        <v>19.079999999999998</v>
      </c>
      <c r="I24">
        <v>22.1</v>
      </c>
      <c r="J24">
        <v>12.03</v>
      </c>
      <c r="K24" s="2">
        <v>0.155</v>
      </c>
      <c r="L24" s="1">
        <v>13.29</v>
      </c>
      <c r="O24" s="2"/>
      <c r="P24" s="1"/>
    </row>
    <row r="25" spans="1:16" x14ac:dyDescent="0.2">
      <c r="A25">
        <v>2024</v>
      </c>
      <c r="B25">
        <v>134.29</v>
      </c>
      <c r="C25">
        <v>130.49</v>
      </c>
      <c r="D25">
        <v>84.27</v>
      </c>
      <c r="E25">
        <v>3288</v>
      </c>
      <c r="F25">
        <v>0.03</v>
      </c>
      <c r="G25">
        <v>65.72</v>
      </c>
      <c r="H25">
        <v>22.75</v>
      </c>
      <c r="I25">
        <v>42.97</v>
      </c>
      <c r="J25">
        <v>11.05</v>
      </c>
      <c r="K25" s="2">
        <v>0.55510000000000004</v>
      </c>
      <c r="L25" s="1">
        <v>25.98</v>
      </c>
      <c r="O25" s="2"/>
      <c r="P25" s="1"/>
    </row>
    <row r="26" spans="1:16" x14ac:dyDescent="0.2">
      <c r="K26" s="2"/>
      <c r="L26" s="1"/>
      <c r="O26" s="2"/>
      <c r="P26" s="1"/>
    </row>
    <row r="27" spans="1:16" x14ac:dyDescent="0.2">
      <c r="K27" s="1"/>
      <c r="L27" s="1"/>
      <c r="O27" s="1"/>
      <c r="P27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AF16-8B88-5A49-87C1-4054113D1030}">
  <dimension ref="A1:P25"/>
  <sheetViews>
    <sheetView workbookViewId="0">
      <selection activeCell="G39" sqref="G39"/>
    </sheetView>
  </sheetViews>
  <sheetFormatPr baseColWidth="10" defaultRowHeight="16" x14ac:dyDescent="0.2"/>
  <cols>
    <col min="2" max="2" width="12.1640625" bestFit="1" customWidth="1"/>
    <col min="5" max="5" width="11.33203125" bestFit="1" customWidth="1"/>
    <col min="6" max="6" width="15.83203125" bestFit="1" customWidth="1"/>
    <col min="7" max="7" width="12.33203125" bestFit="1" customWidth="1"/>
    <col min="8" max="8" width="15.5" bestFit="1" customWidth="1"/>
    <col min="11" max="11" width="17.83203125" bestFit="1" customWidth="1"/>
    <col min="12" max="12" width="14.6640625" bestFit="1" customWidth="1"/>
    <col min="14" max="14" width="22" bestFit="1" customWidth="1"/>
    <col min="15" max="15" width="22.1640625" customWidth="1"/>
    <col min="16" max="16" width="17" customWidth="1"/>
  </cols>
  <sheetData>
    <row r="1" spans="1:16" ht="19" x14ac:dyDescent="0.25">
      <c r="A1" s="3" t="s">
        <v>0</v>
      </c>
      <c r="B1" s="3" t="s">
        <v>1</v>
      </c>
      <c r="C1" s="3" t="s">
        <v>8</v>
      </c>
      <c r="D1" s="3" t="s">
        <v>2</v>
      </c>
      <c r="E1" s="3" t="s">
        <v>9</v>
      </c>
      <c r="F1" s="3" t="s">
        <v>10</v>
      </c>
      <c r="G1" s="3" t="s">
        <v>3</v>
      </c>
      <c r="H1" s="3" t="s">
        <v>4</v>
      </c>
      <c r="I1" s="3" t="s">
        <v>5</v>
      </c>
      <c r="J1" s="3" t="s">
        <v>6</v>
      </c>
      <c r="K1" s="4" t="s">
        <v>7</v>
      </c>
      <c r="L1" s="4" t="s">
        <v>11</v>
      </c>
    </row>
    <row r="2" spans="1:16" x14ac:dyDescent="0.2">
      <c r="A2">
        <v>2001</v>
      </c>
      <c r="B2">
        <v>0.89</v>
      </c>
      <c r="C2">
        <v>1.36</v>
      </c>
      <c r="D2">
        <v>0.24</v>
      </c>
      <c r="E2">
        <v>6.44</v>
      </c>
      <c r="F2">
        <v>0</v>
      </c>
      <c r="G2">
        <v>1.01</v>
      </c>
      <c r="H2">
        <v>0.6</v>
      </c>
      <c r="I2">
        <v>0.4</v>
      </c>
      <c r="J2">
        <v>0.3</v>
      </c>
      <c r="K2" s="2">
        <v>0.19689999999999999</v>
      </c>
      <c r="L2" s="1">
        <v>0.67</v>
      </c>
    </row>
    <row r="3" spans="1:16" x14ac:dyDescent="0.2">
      <c r="A3">
        <v>2002</v>
      </c>
      <c r="B3">
        <v>0.15</v>
      </c>
      <c r="C3">
        <v>1.9</v>
      </c>
      <c r="D3">
        <v>0.14000000000000001</v>
      </c>
      <c r="E3">
        <v>1.2</v>
      </c>
      <c r="F3">
        <v>0</v>
      </c>
      <c r="G3">
        <v>1.5</v>
      </c>
      <c r="H3">
        <v>0.73</v>
      </c>
      <c r="I3">
        <v>0.76</v>
      </c>
      <c r="J3">
        <v>0.3</v>
      </c>
      <c r="K3" s="2">
        <v>0.18459999999999999</v>
      </c>
      <c r="L3" s="1">
        <v>0.79</v>
      </c>
      <c r="N3" s="6"/>
    </row>
    <row r="4" spans="1:16" x14ac:dyDescent="0.2">
      <c r="A4">
        <v>2003</v>
      </c>
      <c r="B4">
        <v>0.28000000000000003</v>
      </c>
      <c r="C4">
        <v>1.82</v>
      </c>
      <c r="D4">
        <v>9.3649999999999997E-2</v>
      </c>
      <c r="E4">
        <v>2.5</v>
      </c>
      <c r="F4">
        <v>0</v>
      </c>
      <c r="G4">
        <v>1.61</v>
      </c>
      <c r="H4">
        <v>0.68</v>
      </c>
      <c r="I4">
        <v>0.93</v>
      </c>
      <c r="J4">
        <v>0.31</v>
      </c>
      <c r="K4" s="2">
        <v>7.8799999999999995E-2</v>
      </c>
      <c r="L4" s="1">
        <v>1.02</v>
      </c>
      <c r="N4" t="s">
        <v>12</v>
      </c>
      <c r="O4" t="s">
        <v>13</v>
      </c>
      <c r="P4" t="s">
        <v>14</v>
      </c>
    </row>
    <row r="5" spans="1:16" x14ac:dyDescent="0.2">
      <c r="A5">
        <v>2004</v>
      </c>
      <c r="B5">
        <v>0.28999999999999998</v>
      </c>
      <c r="C5">
        <v>2.0099999999999998</v>
      </c>
      <c r="D5">
        <v>0.11</v>
      </c>
      <c r="E5">
        <v>3.91</v>
      </c>
      <c r="F5">
        <v>0</v>
      </c>
      <c r="G5">
        <v>1.39</v>
      </c>
      <c r="H5">
        <v>0.34</v>
      </c>
      <c r="I5">
        <v>1.05</v>
      </c>
      <c r="J5">
        <v>4.8700000000000002E-3</v>
      </c>
      <c r="K5" s="2">
        <v>4.7500000000000001E-2</v>
      </c>
      <c r="L5" s="1">
        <v>0.6</v>
      </c>
      <c r="N5" t="s">
        <v>15</v>
      </c>
      <c r="O5">
        <v>193.74</v>
      </c>
      <c r="P5">
        <v>89.72</v>
      </c>
    </row>
    <row r="6" spans="1:16" x14ac:dyDescent="0.2">
      <c r="A6">
        <v>2005</v>
      </c>
      <c r="B6">
        <v>0.45</v>
      </c>
      <c r="C6">
        <v>2.37</v>
      </c>
      <c r="D6">
        <v>0.33</v>
      </c>
      <c r="E6">
        <v>6.25</v>
      </c>
      <c r="F6">
        <v>0</v>
      </c>
      <c r="G6">
        <v>1.62</v>
      </c>
      <c r="H6">
        <v>0.45</v>
      </c>
      <c r="I6">
        <v>1.17</v>
      </c>
      <c r="J6">
        <v>8.4999999999999995E-4</v>
      </c>
      <c r="K6" s="2">
        <v>5.3199999999999997E-2</v>
      </c>
      <c r="L6" s="1">
        <v>0.67</v>
      </c>
      <c r="N6" t="s">
        <v>16</v>
      </c>
      <c r="O6">
        <v>16.04</v>
      </c>
      <c r="P6">
        <v>7.43</v>
      </c>
    </row>
    <row r="7" spans="1:16" x14ac:dyDescent="0.2">
      <c r="A7">
        <v>2006</v>
      </c>
      <c r="B7">
        <v>0.87</v>
      </c>
      <c r="C7">
        <v>3.06</v>
      </c>
      <c r="D7">
        <v>0.45</v>
      </c>
      <c r="E7">
        <v>13.15</v>
      </c>
      <c r="F7">
        <v>0</v>
      </c>
      <c r="G7">
        <v>1.95</v>
      </c>
      <c r="H7">
        <v>0.45</v>
      </c>
      <c r="I7">
        <v>1.49</v>
      </c>
      <c r="J7">
        <f>AVERAGE(J10:J27)</f>
        <v>3.5196174999999998</v>
      </c>
      <c r="K7" s="2">
        <v>0.1502</v>
      </c>
      <c r="L7" s="1">
        <v>0.95</v>
      </c>
      <c r="N7" t="s">
        <v>17</v>
      </c>
      <c r="O7">
        <v>3.19</v>
      </c>
      <c r="P7">
        <v>1.48</v>
      </c>
    </row>
    <row r="8" spans="1:16" x14ac:dyDescent="0.2">
      <c r="A8">
        <v>2007</v>
      </c>
      <c r="B8">
        <v>1.23</v>
      </c>
      <c r="C8">
        <v>4.09</v>
      </c>
      <c r="D8">
        <v>0.83</v>
      </c>
      <c r="E8">
        <v>18.899999999999999</v>
      </c>
      <c r="F8">
        <v>0</v>
      </c>
      <c r="G8">
        <v>2.67</v>
      </c>
      <c r="H8">
        <v>0.66</v>
      </c>
      <c r="I8">
        <v>2</v>
      </c>
      <c r="J8">
        <f>AVERAGE(J9:J27,J2:J7)</f>
        <v>2.8044246739130427</v>
      </c>
      <c r="K8" s="2">
        <v>0.16109999999999999</v>
      </c>
      <c r="L8" s="1">
        <v>1.1100000000000001</v>
      </c>
      <c r="N8" t="s">
        <v>18</v>
      </c>
      <c r="O8">
        <v>2.35</v>
      </c>
      <c r="P8">
        <v>1.0900000000000001</v>
      </c>
    </row>
    <row r="9" spans="1:16" x14ac:dyDescent="0.2">
      <c r="A9">
        <v>2008</v>
      </c>
      <c r="B9">
        <v>0.3</v>
      </c>
      <c r="C9">
        <v>3.42</v>
      </c>
      <c r="D9">
        <v>-4.3839999999999997E-2</v>
      </c>
      <c r="E9">
        <v>4.33</v>
      </c>
      <c r="F9">
        <v>0</v>
      </c>
      <c r="G9">
        <v>3.74</v>
      </c>
      <c r="H9">
        <v>1.1200000000000001</v>
      </c>
      <c r="I9">
        <v>2.61</v>
      </c>
      <c r="J9">
        <f>AVERAGE(J11:J27)</f>
        <v>3.7525500000000003</v>
      </c>
      <c r="K9" s="2">
        <v>0.22</v>
      </c>
      <c r="L9" s="1">
        <v>1.8</v>
      </c>
      <c r="N9" t="s">
        <v>19</v>
      </c>
      <c r="O9">
        <v>0.62</v>
      </c>
      <c r="P9">
        <v>0.28000000000000003</v>
      </c>
    </row>
    <row r="10" spans="1:16" x14ac:dyDescent="0.2">
      <c r="A10">
        <v>2009</v>
      </c>
      <c r="B10">
        <v>0.64</v>
      </c>
      <c r="C10">
        <v>3.32</v>
      </c>
      <c r="D10">
        <v>-7.8979999999999995E-2</v>
      </c>
      <c r="E10">
        <v>10.36</v>
      </c>
      <c r="F10">
        <v>0</v>
      </c>
      <c r="G10">
        <v>3.35</v>
      </c>
      <c r="H10">
        <v>0.95</v>
      </c>
      <c r="I10">
        <v>2.39</v>
      </c>
      <c r="J10">
        <v>2.563E-2</v>
      </c>
      <c r="K10" s="2">
        <v>-1.2500000000000001E-2</v>
      </c>
      <c r="L10" s="1">
        <v>1.25</v>
      </c>
    </row>
    <row r="11" spans="1:16" x14ac:dyDescent="0.2">
      <c r="A11">
        <v>2010</v>
      </c>
      <c r="B11">
        <v>0.53</v>
      </c>
      <c r="C11">
        <v>3.54</v>
      </c>
      <c r="D11">
        <v>0.27</v>
      </c>
      <c r="E11">
        <v>8.94</v>
      </c>
      <c r="F11">
        <v>0</v>
      </c>
      <c r="G11">
        <v>3.58</v>
      </c>
      <c r="H11">
        <v>0.92</v>
      </c>
      <c r="I11">
        <v>2.66</v>
      </c>
      <c r="J11">
        <v>2.445E-2</v>
      </c>
      <c r="K11" s="2">
        <v>-2.47E-2</v>
      </c>
      <c r="L11" s="1">
        <v>1.72</v>
      </c>
    </row>
    <row r="12" spans="1:16" x14ac:dyDescent="0.2">
      <c r="A12">
        <v>2011</v>
      </c>
      <c r="B12">
        <v>0.46</v>
      </c>
      <c r="C12">
        <v>3.99</v>
      </c>
      <c r="D12">
        <v>0.66</v>
      </c>
      <c r="E12">
        <v>8.4600000000000009</v>
      </c>
      <c r="F12">
        <v>0</v>
      </c>
      <c r="G12">
        <v>4.49</v>
      </c>
      <c r="H12">
        <v>1.31</v>
      </c>
      <c r="I12">
        <v>3.18</v>
      </c>
      <c r="J12">
        <v>2.3380000000000001E-2</v>
      </c>
      <c r="K12" s="2">
        <v>7.6499999999999999E-2</v>
      </c>
      <c r="L12" s="1">
        <v>2.4900000000000002</v>
      </c>
    </row>
    <row r="13" spans="1:16" x14ac:dyDescent="0.2">
      <c r="A13">
        <v>2012</v>
      </c>
      <c r="B13">
        <v>0.41</v>
      </c>
      <c r="C13">
        <v>4.28</v>
      </c>
      <c r="D13">
        <v>0.66</v>
      </c>
      <c r="E13">
        <v>7.66</v>
      </c>
      <c r="F13">
        <v>0.66</v>
      </c>
      <c r="G13">
        <v>5.55</v>
      </c>
      <c r="H13">
        <v>1.4</v>
      </c>
      <c r="I13">
        <v>4.1399999999999997</v>
      </c>
      <c r="J13">
        <v>2.1430000000000001E-2</v>
      </c>
      <c r="K13" s="2">
        <v>0.16589999999999999</v>
      </c>
      <c r="L13" s="1">
        <v>3.12</v>
      </c>
    </row>
    <row r="14" spans="1:16" x14ac:dyDescent="0.2">
      <c r="A14">
        <v>2013</v>
      </c>
      <c r="B14">
        <v>0.53</v>
      </c>
      <c r="C14">
        <v>4.13</v>
      </c>
      <c r="D14">
        <v>0.53</v>
      </c>
      <c r="E14">
        <v>9.1</v>
      </c>
      <c r="F14">
        <v>2.0499999999999998</v>
      </c>
      <c r="G14">
        <v>6.41</v>
      </c>
      <c r="H14">
        <v>1.58</v>
      </c>
      <c r="I14">
        <v>4.82</v>
      </c>
      <c r="J14">
        <v>1.899E-2</v>
      </c>
      <c r="K14" s="2">
        <v>0.1547</v>
      </c>
      <c r="L14" s="1">
        <v>3.72</v>
      </c>
    </row>
    <row r="15" spans="1:16" x14ac:dyDescent="0.2">
      <c r="A15">
        <v>2014</v>
      </c>
      <c r="B15">
        <v>0.68</v>
      </c>
      <c r="C15">
        <v>4.68</v>
      </c>
      <c r="D15">
        <v>0.8</v>
      </c>
      <c r="E15">
        <v>10.89</v>
      </c>
      <c r="F15">
        <v>1.77</v>
      </c>
      <c r="G15">
        <v>7.25</v>
      </c>
      <c r="H15">
        <v>2.79</v>
      </c>
      <c r="I15">
        <v>4.45</v>
      </c>
      <c r="J15">
        <v>1.37</v>
      </c>
      <c r="K15" s="2">
        <v>0.1235</v>
      </c>
      <c r="L15" s="1">
        <v>4.67</v>
      </c>
    </row>
    <row r="16" spans="1:16" x14ac:dyDescent="0.2">
      <c r="A16">
        <v>2015</v>
      </c>
      <c r="B16">
        <v>1.1299999999999999</v>
      </c>
      <c r="C16">
        <v>5.01</v>
      </c>
      <c r="D16">
        <v>0.79</v>
      </c>
      <c r="E16">
        <v>17.73</v>
      </c>
      <c r="F16">
        <v>1.23</v>
      </c>
      <c r="G16">
        <v>7.2</v>
      </c>
      <c r="H16">
        <v>2.78</v>
      </c>
      <c r="I16">
        <v>4.41</v>
      </c>
      <c r="J16">
        <v>1.39</v>
      </c>
      <c r="K16" s="2">
        <v>0.1613</v>
      </c>
      <c r="L16" s="1">
        <v>4.62</v>
      </c>
    </row>
    <row r="17" spans="1:12" x14ac:dyDescent="0.2">
      <c r="A17">
        <v>2016</v>
      </c>
      <c r="B17">
        <v>3.76</v>
      </c>
      <c r="C17">
        <v>6.91</v>
      </c>
      <c r="D17">
        <v>1.96</v>
      </c>
      <c r="E17">
        <v>57.53</v>
      </c>
      <c r="F17">
        <v>0.46</v>
      </c>
      <c r="G17">
        <v>7.37</v>
      </c>
      <c r="H17">
        <v>2.9</v>
      </c>
      <c r="I17">
        <v>4.46</v>
      </c>
      <c r="J17">
        <v>1.51</v>
      </c>
      <c r="K17" s="2">
        <v>0.14829999999999999</v>
      </c>
      <c r="L17" s="1">
        <v>5.03</v>
      </c>
    </row>
    <row r="18" spans="1:12" x14ac:dyDescent="0.2">
      <c r="A18">
        <v>2017</v>
      </c>
      <c r="B18">
        <v>7.16</v>
      </c>
      <c r="C18">
        <v>9.7100000000000009</v>
      </c>
      <c r="D18">
        <v>3.25</v>
      </c>
      <c r="E18">
        <v>117.26</v>
      </c>
      <c r="F18">
        <v>0.3</v>
      </c>
      <c r="G18">
        <v>9.84</v>
      </c>
      <c r="H18">
        <v>4.07</v>
      </c>
      <c r="I18">
        <v>5.76</v>
      </c>
      <c r="J18">
        <v>2.81</v>
      </c>
      <c r="K18" s="2">
        <v>0.2757</v>
      </c>
      <c r="L18" s="1">
        <v>6.79</v>
      </c>
    </row>
    <row r="19" spans="1:12" x14ac:dyDescent="0.2">
      <c r="A19">
        <v>2018</v>
      </c>
      <c r="B19">
        <v>4.8099999999999996</v>
      </c>
      <c r="C19">
        <v>11.71</v>
      </c>
      <c r="D19">
        <v>3.95</v>
      </c>
      <c r="E19">
        <v>81.430000000000007</v>
      </c>
      <c r="F19">
        <v>0.46</v>
      </c>
      <c r="G19">
        <v>11.24</v>
      </c>
      <c r="H19">
        <v>3.77</v>
      </c>
      <c r="I19">
        <v>7.47</v>
      </c>
      <c r="J19">
        <v>2</v>
      </c>
      <c r="K19" s="2">
        <v>0.32900000000000001</v>
      </c>
      <c r="L19" s="1">
        <v>7.1</v>
      </c>
    </row>
    <row r="20" spans="1:12" x14ac:dyDescent="0.2">
      <c r="A20">
        <v>2019</v>
      </c>
      <c r="B20">
        <v>8.34</v>
      </c>
      <c r="C20">
        <v>10.91</v>
      </c>
      <c r="D20">
        <v>3.02</v>
      </c>
      <c r="E20">
        <v>144</v>
      </c>
      <c r="F20">
        <v>0.27</v>
      </c>
      <c r="G20">
        <v>13.29</v>
      </c>
      <c r="H20">
        <v>3.95</v>
      </c>
      <c r="I20">
        <v>9.34</v>
      </c>
      <c r="J20">
        <v>1.98</v>
      </c>
      <c r="K20" s="2">
        <v>0.33250000000000002</v>
      </c>
      <c r="L20" s="1">
        <v>7.42</v>
      </c>
    </row>
    <row r="21" spans="1:12" x14ac:dyDescent="0.2">
      <c r="A21">
        <v>2020</v>
      </c>
      <c r="B21">
        <v>18.18</v>
      </c>
      <c r="C21">
        <v>16.670000000000002</v>
      </c>
      <c r="D21">
        <v>4.59</v>
      </c>
      <c r="E21">
        <v>323.24</v>
      </c>
      <c r="F21">
        <v>0.12</v>
      </c>
      <c r="G21">
        <v>17.309999999999999</v>
      </c>
      <c r="H21">
        <v>5.1100000000000003</v>
      </c>
      <c r="I21">
        <v>12.2</v>
      </c>
      <c r="J21">
        <v>2.64</v>
      </c>
      <c r="K21" s="2">
        <v>0.27200000000000002</v>
      </c>
      <c r="L21" s="1">
        <v>10.89</v>
      </c>
    </row>
    <row r="22" spans="1:12" x14ac:dyDescent="0.2">
      <c r="A22">
        <v>2021</v>
      </c>
      <c r="B22">
        <v>40.81</v>
      </c>
      <c r="C22">
        <v>26.91</v>
      </c>
      <c r="D22">
        <v>10.17</v>
      </c>
      <c r="E22">
        <v>735.27</v>
      </c>
      <c r="F22">
        <v>0.05</v>
      </c>
      <c r="G22">
        <v>28.79</v>
      </c>
      <c r="H22">
        <v>11.89</v>
      </c>
      <c r="I22">
        <v>16.89</v>
      </c>
      <c r="J22">
        <v>7.59</v>
      </c>
      <c r="K22" s="2">
        <v>0.26440000000000002</v>
      </c>
      <c r="L22" s="1">
        <v>11.56</v>
      </c>
    </row>
    <row r="23" spans="1:12" x14ac:dyDescent="0.2">
      <c r="A23">
        <v>2022</v>
      </c>
      <c r="B23">
        <v>19.82</v>
      </c>
      <c r="C23">
        <v>26.97</v>
      </c>
      <c r="D23">
        <v>4.4400000000000004</v>
      </c>
      <c r="E23">
        <v>364.18</v>
      </c>
      <c r="F23">
        <v>0.11</v>
      </c>
      <c r="G23">
        <v>44.18</v>
      </c>
      <c r="H23">
        <v>17.57</v>
      </c>
      <c r="I23">
        <v>26.61</v>
      </c>
      <c r="J23">
        <v>11.83</v>
      </c>
      <c r="K23" s="2">
        <v>0.36940000000000001</v>
      </c>
      <c r="L23" s="1">
        <v>21.2</v>
      </c>
    </row>
    <row r="24" spans="1:12" x14ac:dyDescent="0.2">
      <c r="A24">
        <v>2023</v>
      </c>
      <c r="B24">
        <v>68</v>
      </c>
      <c r="C24">
        <v>60.92</v>
      </c>
      <c r="D24">
        <v>34.07</v>
      </c>
      <c r="E24">
        <v>1223</v>
      </c>
      <c r="F24">
        <v>0.03</v>
      </c>
      <c r="G24">
        <v>41.18</v>
      </c>
      <c r="H24">
        <v>19.079999999999998</v>
      </c>
      <c r="I24">
        <v>22.1</v>
      </c>
      <c r="J24">
        <v>12.03</v>
      </c>
      <c r="K24" s="2">
        <v>0.155</v>
      </c>
      <c r="L24" s="1">
        <v>13.29</v>
      </c>
    </row>
    <row r="25" spans="1:12" x14ac:dyDescent="0.2">
      <c r="A25">
        <v>2024</v>
      </c>
      <c r="B25">
        <v>134.29</v>
      </c>
      <c r="C25">
        <v>130.49</v>
      </c>
      <c r="D25">
        <v>84.27</v>
      </c>
      <c r="E25">
        <v>3288</v>
      </c>
      <c r="F25">
        <v>0.03</v>
      </c>
      <c r="G25">
        <v>65.72</v>
      </c>
      <c r="H25">
        <v>22.75</v>
      </c>
      <c r="I25">
        <v>42.97</v>
      </c>
      <c r="J25">
        <v>11.05</v>
      </c>
      <c r="K25" s="2">
        <v>0.55510000000000004</v>
      </c>
      <c r="L25" s="1">
        <v>25.98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7501-25E2-2343-B00A-95FCA7E1C038}">
  <dimension ref="A1"/>
  <sheetViews>
    <sheetView showGridLines="0" tabSelected="1" zoomScaleNormal="100" workbookViewId="0">
      <selection activeCell="Q60" sqref="Q60"/>
    </sheetView>
  </sheetViews>
  <sheetFormatPr baseColWidth="10" defaultRowHeight="16" x14ac:dyDescent="0.2"/>
  <cols>
    <col min="1" max="16384" width="10.83203125" style="5"/>
  </cols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Working data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hariprasath t</dc:creator>
  <cp:lastModifiedBy>hariprasath t</cp:lastModifiedBy>
  <dcterms:created xsi:type="dcterms:W3CDTF">2026-06-20T01:11:14Z</dcterms:created>
  <dcterms:modified xsi:type="dcterms:W3CDTF">2026-07-11T06:16:09Z</dcterms:modified>
</cp:coreProperties>
</file>